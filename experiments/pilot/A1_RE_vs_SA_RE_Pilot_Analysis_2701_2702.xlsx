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b7231da564a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7064cc9c644790"/>
    <x:sheet xmlns:r="http://schemas.openxmlformats.org/officeDocument/2006/relationships" name="Run Metrics" sheetId="2" r:id="Rd0b37e1cd8554d5b"/>
    <x:sheet xmlns:r="http://schemas.openxmlformats.org/officeDocument/2006/relationships" name="Best Curves" sheetId="3" r:id="R68f85d7cbe754531"/>
    <x:sheet xmlns:r="http://schemas.openxmlformats.org/officeDocument/2006/relationships" name="Surrogate" sheetId="4" r:id="Ree7536f81acc44b0"/>
    <x:sheet xmlns:r="http://schemas.openxmlformats.org/officeDocument/2006/relationships" name="Matched Audit" sheetId="5" r:id="R3cdf30e3602744a0"/>
    <x:sheet xmlns:r="http://schemas.openxmlformats.org/officeDocument/2006/relationships" name="Top Architectures" sheetId="6" r:id="Rbfa0bed5ff254907"/>
    <x:sheet xmlns:r="http://schemas.openxmlformats.org/officeDocument/2006/relationships" name="Raw Evaluations" sheetId="7" r:id="R42f0fb1d13d54d68"/>
    <x:sheet xmlns:r="http://schemas.openxmlformats.org/officeDocument/2006/relationships" name="Raw Candidates" sheetId="8" r:id="R9e8dd8d369ab4bb7"/>
    <x:sheet xmlns:r="http://schemas.openxmlformats.org/officeDocument/2006/relationships" name="Notes" sheetId="9" r:id="R0e3ef1e21a7640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"/>
    <x:numFmt numFmtId="201" formatCode="#,##0"/>
    <x:numFmt numFmtId="202" formatCode="0.0"/>
    <x:numFmt numFmtId="203" formatCode="0.000000"/>
    <x:numFmt numFmtId="204" formatCode="0.00000000"/>
    <x:numFmt numFmtId="205" formatCode="+0.0000;-0.0000;0.0000"/>
  </x:numFmts>
  <x:fonts count="20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i/>
      <x:sz val="11"/>
      <x:color rgb="FF92400E"/>
      <x:name val="Carlito"/>
    </x:font>
    <x:font>
      <x:b/>
      <x:sz val="11"/>
      <x:color rgb="FF166534"/>
      <x:name val="Carlito"/>
    </x:font>
    <x:font>
      <x:i/>
      <x:sz val="11"/>
      <x:color rgb="FF6B7280"/>
      <x:name val="Carlito"/>
    </x:font>
    <x:font>
      <x:b/>
      <x:sz val="15"/>
      <x:color rgb="FF166534"/>
      <x:name val="Carlito"/>
    </x:font>
    <x:font>
      <x:b/>
      <x:sz val="15"/>
      <x:color rgb="FF1F2937"/>
      <x:name val="Carlito"/>
    </x:font>
    <x:font>
      <x:b/>
      <x:sz val="11"/>
      <x:color rgb="FF1F2937"/>
      <x:name val="Carlito"/>
    </x:font>
    <x:font>
      <x:b/>
      <x:sz val="18"/>
      <x:color rgb="FFFFFFFF"/>
      <x:name val="Aptos"/>
    </x:font>
    <x:font>
      <x:sz val="11"/>
      <x:name val="Aptos"/>
    </x:font>
    <x:font>
      <x:i/>
      <x:sz val="11"/>
      <x:color rgb="FF6B7280"/>
      <x:name val="Aptos"/>
    </x:font>
    <x:font>
      <x:b/>
      <x:sz val="11"/>
      <x:color rgb="FFFFFFFF"/>
      <x:name val="Aptos"/>
    </x:font>
    <x:font>
      <x:b/>
      <x:sz val="15"/>
      <x:color rgb="FF166534"/>
      <x:name val="Aptos"/>
    </x:font>
    <x:font>
      <x:b/>
      <x:sz val="15"/>
      <x:color rgb="FF1F2937"/>
      <x:name val="Aptos"/>
    </x:font>
    <x:font>
      <x:b/>
      <x:sz val="11"/>
      <x:color rgb="FF17324D"/>
      <x:name val="Aptos"/>
    </x:font>
    <x:font>
      <x:b/>
      <x:sz val="11"/>
      <x:color rgb="FF1F2937"/>
      <x:name val="Aptos"/>
    </x:font>
    <x:font>
      <x:i/>
      <x:sz val="11"/>
      <x:color rgb="FF92400E"/>
      <x:name val="Aptos"/>
    </x:font>
    <x:font>
      <x:b/>
      <x:sz val="11"/>
      <x:color rgb="FF166534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3F4F6"/>
      </x:patternFill>
    </x:fill>
  </x:fills>
  <x:borders count="11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</x:borders>
  <x:cellStyleXfs count="1">
    <x:xf numFmtId="0" fontId="0" fillId="0" borderId="0"/>
  </x:cellStyleXfs>
  <x:cellXfs count="1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2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2" fontId="0" fillId="0" borderId="5" xfId="0" applyNumberFormat="1" applyFont="1" applyFill="1" applyBorder="1"/>
    <x:xf numFmtId="201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3" fontId="0" fillId="0" borderId="4" xfId="0" applyNumberFormat="1" applyFont="1" applyFill="1" applyBorder="1"/>
    <x:xf numFmtId="203" fontId="0" fillId="0" borderId="5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4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4" xfId="0" applyNumberFormat="1" applyFont="1" applyFill="1" applyBorder="1"/>
    <x:xf numFmtId="0" fontId="7" fillId="5" borderId="10" xfId="0" applyNumberFormat="1" applyFont="1" applyFill="1" applyBorder="1"/>
    <x:xf numFmtId="0" fontId="7" fillId="5" borderId="6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wrapText="1"/>
    </x:xf>
    <x:xf numFmtId="0" fontId="7" fillId="5" borderId="8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6" xfId="0" applyNumberFormat="1" applyFont="1" applyFill="1" applyBorder="1" applyAlignment="1">
      <x:alignment horizontal="center" wrapText="1"/>
    </x:xf>
    <x:xf numFmtId="0" fontId="7" fillId="5" borderId="7" xfId="0" applyNumberFormat="1" applyFont="1" applyFill="1" applyBorder="1" applyAlignment="1">
      <x:alignment horizontal="center" wrapText="1"/>
    </x:xf>
    <x:xf numFmtId="0" fontId="7" fillId="5" borderId="8" xfId="0" applyNumberFormat="1" applyFont="1" applyFill="1" applyBorder="1" applyAlignment="1">
      <x:alignment horizontal="center" wrapText="1"/>
    </x:xf>
    <x:xf numFmtId="0" fontId="7" fillId="5" borderId="9" xfId="0" applyNumberFormat="1" applyFont="1" applyFill="1" applyBorder="1" applyAlignment="1">
      <x:alignment horizontal="center" wrapText="1"/>
    </x:xf>
    <x:xf numFmtId="0" fontId="7" fillId="5" borderId="4" xfId="0" applyNumberFormat="1" applyFont="1" applyFill="1" applyBorder="1" applyAlignment="1">
      <x:alignment horizontal="center" wrapText="1"/>
    </x:xf>
    <x:xf numFmtId="0" fontId="7" fillId="5" borderId="10" xfId="0" applyNumberFormat="1" applyFont="1" applyFill="1" applyBorder="1" applyAlignment="1">
      <x:alignment horizontal="center" wrapText="1"/>
    </x:xf>
    <x:xf numFmtId="0" fontId="7" fillId="5" borderId="6" xfId="0" applyNumberFormat="1" applyFont="1" applyFill="1" applyBorder="1" applyAlignment="1">
      <x:alignment horizontal="center" vertical="center" wrapText="1"/>
    </x:xf>
    <x:xf numFmtId="0" fontId="7" fillId="5" borderId="7" xfId="0" applyNumberFormat="1" applyFont="1" applyFill="1" applyBorder="1" applyAlignment="1">
      <x:alignment horizontal="center" vertical="center" wrapText="1"/>
    </x:xf>
    <x:xf numFmtId="0" fontId="7" fillId="5" borderId="8" xfId="0" applyNumberFormat="1" applyFont="1" applyFill="1" applyBorder="1" applyAlignment="1">
      <x:alignment horizontal="center" vertical="center" wrapText="1"/>
    </x:xf>
    <x:xf numFmtId="0" fontId="7" fillId="5" borderId="9" xfId="0" applyNumberFormat="1" applyFont="1" applyFill="1" applyBorder="1" applyAlignment="1">
      <x:alignment horizontal="center" vertical="center" wrapText="1"/>
    </x:xf>
    <x:xf numFmtId="0" fontId="7" fillId="5" borderId="4" xfId="0" applyNumberFormat="1" applyFont="1" applyFill="1" applyBorder="1" applyAlignment="1">
      <x:alignment horizontal="center" vertical="center" wrapText="1"/>
    </x:xf>
    <x:xf numFmtId="0" fontId="7" fillId="5" borderId="1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/>
    <x:xf numFmtId="0" fontId="8" fillId="6" borderId="6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4" xfId="0" applyNumberFormat="1" applyFont="1" applyFill="1" applyBorder="1"/>
    <x:xf numFmtId="0" fontId="8" fillId="6" borderId="10" xfId="0" applyNumberFormat="1" applyFont="1" applyFill="1" applyBorder="1"/>
    <x:xf numFmtId="0" fontId="8" fillId="6" borderId="6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wrapText="1"/>
    </x:xf>
    <x:xf numFmtId="0" fontId="8" fillId="6" borderId="10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horizontal="center" wrapText="1"/>
    </x:xf>
    <x:xf numFmtId="0" fontId="8" fillId="6" borderId="7" xfId="0" applyNumberFormat="1" applyFont="1" applyFill="1" applyBorder="1" applyAlignment="1">
      <x:alignment horizontal="center" wrapText="1"/>
    </x:xf>
    <x:xf numFmtId="0" fontId="8" fillId="6" borderId="8" xfId="0" applyNumberFormat="1" applyFont="1" applyFill="1" applyBorder="1" applyAlignment="1">
      <x:alignment horizontal="center" wrapText="1"/>
    </x:xf>
    <x:xf numFmtId="0" fontId="8" fillId="6" borderId="9" xfId="0" applyNumberFormat="1" applyFont="1" applyFill="1" applyBorder="1" applyAlignment="1">
      <x:alignment horizontal="center" wrapText="1"/>
    </x:xf>
    <x:xf numFmtId="0" fontId="8" fillId="6" borderId="4" xfId="0" applyNumberFormat="1" applyFont="1" applyFill="1" applyBorder="1" applyAlignment="1">
      <x:alignment horizontal="center" wrapText="1"/>
    </x:xf>
    <x:xf numFmtId="0" fontId="8" fillId="6" borderId="10" xfId="0" applyNumberFormat="1" applyFont="1" applyFill="1" applyBorder="1" applyAlignment="1">
      <x:alignment horizontal="center" wrapText="1"/>
    </x:xf>
    <x:xf numFmtId="0" fontId="8" fillId="6" borderId="6" xfId="0" applyNumberFormat="1" applyFont="1" applyFill="1" applyBorder="1" applyAlignment="1">
      <x:alignment horizontal="center" vertical="center" wrapText="1"/>
    </x:xf>
    <x:xf numFmtId="0" fontId="8" fillId="6" borderId="7" xfId="0" applyNumberFormat="1" applyFont="1" applyFill="1" applyBorder="1" applyAlignment="1">
      <x:alignment horizontal="center" vertical="center" wrapText="1"/>
    </x:xf>
    <x:xf numFmtId="0" fontId="8" fillId="6" borderId="8" xfId="0" applyNumberFormat="1" applyFont="1" applyFill="1" applyBorder="1" applyAlignment="1">
      <x:alignment horizontal="center" vertical="center" wrapText="1"/>
    </x:xf>
    <x:xf numFmtId="0" fontId="8" fillId="6" borderId="9" xfId="0" applyNumberFormat="1" applyFont="1" applyFill="1" applyBorder="1" applyAlignment="1">
      <x:alignment horizontal="center" vertical="center" wrapText="1"/>
    </x:xf>
    <x:xf numFmtId="0" fontId="8" fillId="6" borderId="4" xfId="0" applyNumberFormat="1" applyFont="1" applyFill="1" applyBorder="1" applyAlignment="1">
      <x:alignment horizontal="center" vertical="center" wrapText="1"/>
    </x:xf>
    <x:xf numFmtId="0" fontId="8" fillId="6" borderId="10" xfId="0" applyNumberFormat="1" applyFont="1" applyFill="1" applyBorder="1" applyAlignment="1">
      <x:alignment horizontal="center" vertical="center" wrapText="1"/>
    </x:xf>
    <x:xf numFmtId="205" fontId="8" fillId="6" borderId="6" xfId="0" applyNumberFormat="1" applyFont="1" applyFill="1" applyBorder="1" applyAlignment="1">
      <x:alignment horizontal="center" vertical="center" wrapText="1"/>
    </x:xf>
    <x:xf numFmtId="200" fontId="8" fillId="6" borderId="6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/>
    </x:xf>
    <x:xf numFmtId="0" fontId="9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/>
    </x:xf>
    <x:xf numFmtId="0" fontId="9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left" vertical="center"/>
    </x:xf>
    <x:xf numFmtId="0" fontId="11" fillId="0" borderId="0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horizontal="center"/>
    </x:xf>
    <x:xf numFmtId="0" fontId="14" fillId="5" borderId="6" xfId="0" applyNumberFormat="1" applyFont="1" applyFill="1" applyBorder="1" applyAlignment="1">
      <x:alignment horizontal="center" vertical="center" wrapText="1"/>
    </x:xf>
    <x:xf numFmtId="0" fontId="14" fillId="5" borderId="7" xfId="0" applyNumberFormat="1" applyFont="1" applyFill="1" applyBorder="1" applyAlignment="1">
      <x:alignment horizontal="center" vertical="center" wrapText="1"/>
    </x:xf>
    <x:xf numFmtId="0" fontId="14" fillId="5" borderId="8" xfId="0" applyNumberFormat="1" applyFont="1" applyFill="1" applyBorder="1" applyAlignment="1">
      <x:alignment horizontal="center" vertical="center" wrapText="1"/>
    </x:xf>
    <x:xf numFmtId="205" fontId="15" fillId="6" borderId="6" xfId="0" applyNumberFormat="1" applyFont="1" applyFill="1" applyBorder="1" applyAlignment="1">
      <x:alignment horizontal="center" vertical="center" wrapText="1"/>
    </x:xf>
    <x:xf numFmtId="0" fontId="15" fillId="6" borderId="7" xfId="0" applyNumberFormat="1" applyFont="1" applyFill="1" applyBorder="1" applyAlignment="1">
      <x:alignment horizontal="center" vertical="center" wrapText="1"/>
    </x:xf>
    <x:xf numFmtId="0" fontId="15" fillId="6" borderId="8" xfId="0" applyNumberFormat="1" applyFont="1" applyFill="1" applyBorder="1" applyAlignment="1">
      <x:alignment horizontal="center" vertical="center" wrapText="1"/>
    </x:xf>
    <x:xf numFmtId="200" fontId="15" fillId="6" borderId="6" xfId="0" applyNumberFormat="1" applyFont="1" applyFill="1" applyBorder="1" applyAlignment="1">
      <x:alignment horizontal="center" vertical="center" wrapText="1"/>
    </x:xf>
    <x:xf numFmtId="0" fontId="14" fillId="5" borderId="9" xfId="0" applyNumberFormat="1" applyFont="1" applyFill="1" applyBorder="1" applyAlignment="1">
      <x:alignment horizontal="center" vertical="center" wrapText="1"/>
    </x:xf>
    <x:xf numFmtId="0" fontId="14" fillId="5" borderId="4" xfId="0" applyNumberFormat="1" applyFont="1" applyFill="1" applyBorder="1" applyAlignment="1">
      <x:alignment horizontal="center" vertical="center" wrapText="1"/>
    </x:xf>
    <x:xf numFmtId="0" fontId="14" fillId="5" borderId="10" xfId="0" applyNumberFormat="1" applyFont="1" applyFill="1" applyBorder="1" applyAlignment="1">
      <x:alignment horizontal="center" vertical="center" wrapText="1"/>
    </x:xf>
    <x:xf numFmtId="0" fontId="15" fillId="6" borderId="9" xfId="0" applyNumberFormat="1" applyFont="1" applyFill="1" applyBorder="1" applyAlignment="1">
      <x:alignment horizontal="center" vertical="center" wrapText="1"/>
    </x:xf>
    <x:xf numFmtId="0" fontId="15" fillId="6" borderId="4" xfId="0" applyNumberFormat="1" applyFont="1" applyFill="1" applyBorder="1" applyAlignment="1">
      <x:alignment horizontal="center" vertical="center" wrapText="1"/>
    </x:xf>
    <x:xf numFmtId="0" fontId="15" fillId="6" borderId="10" xfId="0" applyNumberFormat="1" applyFont="1" applyFill="1" applyBorder="1" applyAlignment="1">
      <x:alignment horizontal="center" vertical="center" wrapText="1"/>
    </x:xf>
    <x:xf numFmtId="0" fontId="16" fillId="3" borderId="0" xfId="0" applyNumberFormat="1" applyFont="1" applyFill="1" applyBorder="1" applyAlignment="1">
      <x:alignment vertical="center"/>
    </x:xf>
    <x:xf numFmtId="0" fontId="13" fillId="2" borderId="1" xfId="0" applyNumberFormat="1" applyFont="1" applyFill="1" applyBorder="1" applyAlignment="1">
      <x:alignment horizontal="center" vertical="center" wrapText="1"/>
    </x:xf>
    <x:xf numFmtId="0" fontId="13" fillId="2" borderId="2" xfId="0" applyNumberFormat="1" applyFont="1" applyFill="1" applyBorder="1" applyAlignment="1">
      <x:alignment horizontal="center" vertical="center" wrapText="1"/>
    </x:xf>
    <x:xf numFmtId="0" fontId="13" fillId="2" borderId="3" xfId="0" applyNumberFormat="1" applyFont="1" applyFill="1" applyBorder="1" applyAlignment="1">
      <x:alignment horizontal="center" vertical="center" wrapText="1"/>
    </x:xf>
    <x:xf numFmtId="0" fontId="11" fillId="0" borderId="4" xfId="0" applyNumberFormat="1" applyFont="1" applyFill="1" applyBorder="1"/>
    <x:xf numFmtId="200" fontId="11" fillId="0" borderId="4" xfId="0" applyNumberFormat="1" applyFont="1" applyFill="1" applyBorder="1"/>
    <x:xf numFmtId="0" fontId="11" fillId="0" borderId="5" xfId="0" applyNumberFormat="1" applyFont="1" applyFill="1" applyBorder="1"/>
    <x:xf numFmtId="200" fontId="11" fillId="0" borderId="5" xfId="0" applyNumberFormat="1" applyFont="1" applyFill="1" applyBorder="1"/>
    <x:xf numFmtId="0" fontId="13" fillId="2" borderId="4" xfId="0" applyNumberFormat="1" applyFont="1" applyFill="1" applyBorder="1" applyAlignment="1">
      <x:alignment horizontal="center"/>
    </x:xf>
    <x:xf numFmtId="0" fontId="17" fillId="0" borderId="4" xfId="0" applyNumberFormat="1" applyFont="1" applyFill="1" applyBorder="1" applyAlignment="1">
      <x:alignment wrapText="1"/>
    </x:xf>
    <x:xf numFmtId="0" fontId="11" fillId="0" borderId="4" xfId="0" applyNumberFormat="1" applyFont="1" applyFill="1" applyBorder="1" applyAlignment="1">
      <x:alignment wrapText="1"/>
    </x:xf>
    <x:xf numFmtId="0" fontId="13" fillId="2" borderId="5" xfId="0" applyNumberFormat="1" applyFont="1" applyFill="1" applyBorder="1" applyAlignment="1">
      <x:alignment horizontal="center"/>
    </x:xf>
    <x:xf numFmtId="0" fontId="17" fillId="0" borderId="5" xfId="0" applyNumberFormat="1" applyFont="1" applyFill="1" applyBorder="1" applyAlignment="1">
      <x:alignment wrapText="1"/>
    </x:xf>
    <x:xf numFmtId="0" fontId="11" fillId="0" borderId="5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/>
    </x:xf>
    <x:xf numFmtId="0" fontId="12" fillId="6" borderId="0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 applyAlignment="1">
      <x:alignment horizontal="center" vertical="center"/>
    </x:xf>
    <x:xf numFmtId="0" fontId="11" fillId="0" borderId="4" xfId="0" applyNumberFormat="1" applyFont="1" applyFill="1" applyBorder="1" applyAlignment="1">
      <x:alignment vertical="center"/>
    </x:xf>
    <x:xf numFmtId="200" fontId="11" fillId="0" borderId="4" xfId="0" applyNumberFormat="1" applyFont="1" applyFill="1" applyBorder="1" applyAlignment="1">
      <x:alignment vertical="center"/>
    </x:xf>
    <x:xf numFmtId="0" fontId="11" fillId="0" borderId="5" xfId="0" applyNumberFormat="1" applyFont="1" applyFill="1" applyBorder="1" applyAlignment="1">
      <x:alignment vertical="center"/>
    </x:xf>
    <x:xf numFmtId="200" fontId="11" fillId="0" borderId="5" xfId="0" applyNumberFormat="1" applyFont="1" applyFill="1" applyBorder="1" applyAlignment="1">
      <x:alignment vertical="center"/>
    </x:xf>
    <x:xf numFmtId="0" fontId="13" fillId="2" borderId="4" xfId="0" applyNumberFormat="1" applyFont="1" applyFill="1" applyBorder="1" applyAlignment="1">
      <x:alignment horizontal="center" vertical="center"/>
    </x:xf>
    <x:xf numFmtId="0" fontId="17" fillId="0" borderId="4" xfId="0" applyNumberFormat="1" applyFont="1" applyFill="1" applyBorder="1" applyAlignment="1">
      <x:alignment vertical="center" wrapText="1"/>
    </x:xf>
    <x:xf numFmtId="0" fontId="11" fillId="0" borderId="4" xfId="0" applyNumberFormat="1" applyFont="1" applyFill="1" applyBorder="1" applyAlignment="1">
      <x:alignment vertical="center" wrapText="1"/>
    </x:xf>
    <x:xf numFmtId="0" fontId="13" fillId="2" borderId="5" xfId="0" applyNumberFormat="1" applyFont="1" applyFill="1" applyBorder="1" applyAlignment="1">
      <x:alignment horizontal="center" vertical="center"/>
    </x:xf>
    <x:xf numFmtId="0" fontId="17" fillId="0" borderId="5" xfId="0" applyNumberFormat="1" applyFont="1" applyFill="1" applyBorder="1" applyAlignment="1">
      <x:alignment vertical="center" wrapText="1"/>
    </x:xf>
    <x:xf numFmtId="0" fontId="11" fillId="0" borderId="5" xfId="0" applyNumberFormat="1" applyFont="1" applyFill="1" applyBorder="1" applyAlignment="1">
      <x:alignment vertical="center" wrapText="1"/>
    </x:xf>
    <x:xf numFmtId="202" fontId="11" fillId="0" borderId="4" xfId="0" applyNumberFormat="1" applyFont="1" applyFill="1" applyBorder="1"/>
    <x:xf numFmtId="201" fontId="11" fillId="0" borderId="4" xfId="0" applyNumberFormat="1" applyFont="1" applyFill="1" applyBorder="1"/>
    <x:xf numFmtId="202" fontId="11" fillId="0" borderId="5" xfId="0" applyNumberFormat="1" applyFont="1" applyFill="1" applyBorder="1"/>
    <x:xf numFmtId="201" fontId="11" fillId="0" borderId="5" xfId="0" applyNumberFormat="1" applyFont="1" applyFill="1" applyBorder="1"/>
    <x:xf numFmtId="202" fontId="11" fillId="0" borderId="4" xfId="0" applyNumberFormat="1" applyFont="1" applyFill="1" applyBorder="1" applyAlignment="1">
      <x:alignment vertical="center"/>
    </x:xf>
    <x:xf numFmtId="201" fontId="11" fillId="0" borderId="4" xfId="0" applyNumberFormat="1" applyFont="1" applyFill="1" applyBorder="1" applyAlignment="1">
      <x:alignment vertical="center"/>
    </x:xf>
    <x:xf numFmtId="202" fontId="11" fillId="0" borderId="5" xfId="0" applyNumberFormat="1" applyFont="1" applyFill="1" applyBorder="1" applyAlignment="1">
      <x:alignment vertical="center"/>
    </x:xf>
    <x:xf numFmtId="201" fontId="11" fillId="0" borderId="5" xfId="0" applyNumberFormat="1" applyFont="1" applyFill="1" applyBorder="1" applyAlignment="1">
      <x:alignment vertical="center"/>
    </x:xf>
    <x:xf numFmtId="0" fontId="18" fillId="4" borderId="0" xfId="0" applyNumberFormat="1" applyFont="1" applyFill="1" applyBorder="1" applyAlignment="1">
      <x:alignment wrapText="1"/>
    </x:xf>
    <x:xf numFmtId="203" fontId="11" fillId="0" borderId="4" xfId="0" applyNumberFormat="1" applyFont="1" applyFill="1" applyBorder="1"/>
    <x:xf numFmtId="203" fontId="11" fillId="0" borderId="5" xfId="0" applyNumberFormat="1" applyFont="1" applyFill="1" applyBorder="1"/>
    <x:xf numFmtId="0" fontId="18" fillId="4" borderId="0" xfId="0" applyNumberFormat="1" applyFont="1" applyFill="1" applyBorder="1" applyAlignment="1">
      <x:alignment vertical="center" wrapText="1"/>
    </x:xf>
    <x:xf numFmtId="203" fontId="11" fillId="0" borderId="4" xfId="0" applyNumberFormat="1" applyFont="1" applyFill="1" applyBorder="1" applyAlignment="1">
      <x:alignment vertical="center"/>
    </x:xf>
    <x:xf numFmtId="203" fontId="11" fillId="0" borderId="5" xfId="0" applyNumberFormat="1" applyFont="1" applyFill="1" applyBorder="1" applyAlignment="1">
      <x:alignment vertical="center"/>
    </x:xf>
    <x:xf numFmtId="0" fontId="19" fillId="5" borderId="4" xfId="0" applyNumberFormat="1" applyFont="1" applyFill="1" applyBorder="1" applyAlignment="1">
      <x:alignment horizontal="center"/>
    </x:xf>
    <x:xf numFmtId="0" fontId="19" fillId="5" borderId="5" xfId="0" applyNumberFormat="1" applyFont="1" applyFill="1" applyBorder="1" applyAlignment="1">
      <x:alignment horizontal="center"/>
    </x:xf>
    <x:xf numFmtId="0" fontId="19" fillId="5" borderId="4" xfId="0" applyNumberFormat="1" applyFont="1" applyFill="1" applyBorder="1" applyAlignment="1">
      <x:alignment horizontal="center" vertical="center"/>
    </x:xf>
    <x:xf numFmtId="0" fontId="19" fillId="5" borderId="5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7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0727953e20432a" /><Relationship Type="http://schemas.openxmlformats.org/officeDocument/2006/relationships/theme" Target="/xl/theme/theme1.xml" Id="Re170c60dc73e4f22" /><Relationship Type="http://schemas.microsoft.com/office/2022/11/relationships/FeaturePropertyBag" Target="/xl/featurePropertyBag/featurePropertyBag.xml" Id="R4d300621961047c2" /><Relationship Type="http://schemas.openxmlformats.org/officeDocument/2006/relationships/sharedStrings" Target="/xl/sharedStrings.xml" Id="R671c7c073e444bd0" /><Relationship Type="http://schemas.openxmlformats.org/officeDocument/2006/relationships/worksheet" Target="/xl/worksheets/sheet1.xml" Id="R297064cc9c644790" /><Relationship Type="http://schemas.openxmlformats.org/officeDocument/2006/relationships/worksheet" Target="/xl/worksheets/sheet2.xml" Id="Rd0b37e1cd8554d5b" /><Relationship Type="http://schemas.openxmlformats.org/officeDocument/2006/relationships/worksheet" Target="/xl/worksheets/sheet3.xml" Id="R68f85d7cbe754531" /><Relationship Type="http://schemas.openxmlformats.org/officeDocument/2006/relationships/worksheet" Target="/xl/worksheets/sheet4.xml" Id="Ree7536f81acc44b0" /><Relationship Type="http://schemas.openxmlformats.org/officeDocument/2006/relationships/worksheet" Target="/xl/worksheets/sheet5.xml" Id="R3cdf30e3602744a0" /><Relationship Type="http://schemas.openxmlformats.org/officeDocument/2006/relationships/worksheet" Target="/xl/worksheets/sheet6.xml" Id="Rbfa0bed5ff254907" /><Relationship Type="http://schemas.openxmlformats.org/officeDocument/2006/relationships/worksheet" Target="/xl/worksheets/sheet7.xml" Id="R42f0fb1d13d54d68" /><Relationship Type="http://schemas.openxmlformats.org/officeDocument/2006/relationships/worksheet" Target="/xl/worksheets/sheet8.xml" Id="R9e8dd8d369ab4bb7" /><Relationship Type="http://schemas.openxmlformats.org/officeDocument/2006/relationships/worksheet" Target="/xl/worksheets/sheet9.xml" Id="R0e3ef1e21a7640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f559d3a4d7447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996003c39a54c9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Best-so-far validation accuracy (B=30)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 2701</c:v>
          </c:tx>
          <c:spPr>
            <a:solidFill xmlns:a="http://schemas.openxmlformats.org/drawingml/2006/main">
              <a:srgbClr val="2563EB"/>
            </a:solidFill>
          </c:spPr>
          <c:marker>
            <c:symbol val="none"/>
          </c:marker>
          <c:cat>
            <c:strRef>
              <c:f>'Best Curves'!$A$5:$A$34</c:f>
              <c:strCache>
                <c:ptCount val="0"/>
              </c:strCache>
            </c:strRef>
          </c:cat>
          <c:val>
            <c:numRef>
              <c:f>'Best Curves'!$C$5:$C$34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SA-RE 2701</c:v>
          </c:tx>
          <c:spPr>
            <a:solidFill xmlns:a="http://schemas.openxmlformats.org/drawingml/2006/main">
              <a:srgbClr val="F97316"/>
            </a:solidFill>
          </c:spPr>
          <c:marker>
            <c:symbol val="none"/>
          </c:marker>
          <c:cat>
            <c:strRef>
              <c:f>'Best Curves'!$A$5:$A$34</c:f>
              <c:strCache>
                <c:ptCount val="0"/>
              </c:strCache>
            </c:strRef>
          </c:cat>
          <c:val>
            <c:numRef>
              <c:f>'Best Curves'!$E$5:$E$34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RE 2702</c:v>
          </c:tx>
          <c:spPr>
            <a:solidFill xmlns:a="http://schemas.openxmlformats.org/drawingml/2006/main">
              <a:srgbClr val="93C5FD"/>
            </a:solidFill>
          </c:spPr>
          <c:marker>
            <c:symbol val="none"/>
          </c:marker>
          <c:cat>
            <c:strRef>
              <c:f>'Best Curves'!$A$5:$A$34</c:f>
              <c:strCache>
                <c:ptCount val="0"/>
              </c:strCache>
            </c:strRef>
          </c:cat>
          <c:val>
            <c:numRef>
              <c:f>'Best Curves'!$G$5:$G$34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SA-RE 2702</c:v>
          </c:tx>
          <c:spPr>
            <a:solidFill xmlns:a="http://schemas.openxmlformats.org/drawingml/2006/main">
              <a:srgbClr val="FDBA74"/>
            </a:solidFill>
          </c:spPr>
          <c:marker>
            <c:symbol val="none"/>
          </c:marker>
          <c:cat>
            <c:strRef>
              <c:f>'Best Curves'!$A$5:$A$34</c:f>
              <c:strCache>
                <c:ptCount val="0"/>
              </c:strCache>
            </c:strRef>
          </c:cat>
          <c:val>
            <c:numRef>
              <c:f>'Best Curves'!$I$5:$I$34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Real evaluation index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84"/>
          <c:min val="0.69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Final validation accuracy</a:t>
                </a:r>
              </a:p>
            </c:rich>
          </c:tx>
          <c:overlay val="0"/>
        </c:title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Selected prediction vs observed accuracy</a:t>
            </a:r>
          </a:p>
        </c:rich>
      </c:tx>
      <c:overlay val="0"/>
    </c:title>
    <c:plotArea>
      <c:scatterChart>
        <c:scatterStyle val="marker"/>
        <c:ser>
          <c:idx val="0"/>
          <c:order val="0"/>
          <c:tx>
            <c:v>Selected candidates</c:v>
          </c:tx>
          <c:spPr>
            <a:solidFill xmlns:a="http://schemas.openxmlformats.org/drawingml/2006/main">
              <a:srgbClr val="F97316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'Surrogate'!$F$13:$F$32</c:f>
              <c:numCache>
                <c:formatCode>0.000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Observed accuracy</a:t>
                </a:r>
              </a:p>
            </c:rich>
          </c:tx>
          <c:overlay val="0"/>
        </c:title>
        <c:numFmt formatCode="0.00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Predicted mu</a:t>
                </a:r>
              </a:p>
            </c:rich>
          </c:tx>
          <c:overlay val="0"/>
        </c:title>
        <c:numFmt formatCode="0.00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19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f559d3a4d7447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15</xdr:col>
      <xdr:colOff>0</xdr:colOff>
      <xdr:row>4</xdr:row>
      <xdr:rowOff>0</xdr:rowOff>
    </xdr:from>
    <xdr:to>
      <xdr:col>23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96003c39a54c9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3" name="TopArchitecturesTable" displayName="TopArchitecturesTable" ref="A4:K24" headerRowCount="1" totalsRowCount="0" totalsRowShown="0">
  <x:autoFilter ref="A4:K24"/>
  <x:tableColumns count="11">
    <x:tableColumn id="1" name="Method"/>
    <x:tableColumn id="2" name="Seed"/>
    <x:tableColumn id="3" name="Rank"/>
    <x:tableColumn id="4" name="Eval"/>
    <x:tableColumn id="5" name="Phase"/>
    <x:tableColumn id="6" name="Mutation"/>
    <x:tableColumn id="7" name="Fitness"/>
    <x:tableColumn id="8" name="Best-val accuracy"/>
    <x:tableColumn id="9" name="Parameters"/>
    <x:tableColumn id="10" name="Training sec"/>
    <x:tableColumn id="11" name="Architecture J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RawEvaluationsTable" displayName="RawEvaluationsTable" ref="A1:T121" headerRowCount="1" totalsRowCount="0" totalsRowShown="0">
  <x:autoFilter ref="A1:T121"/>
  <x:tableColumns count="20">
    <x:tableColumn id="1" name="method"/>
    <x:tableColumn id="2" name="search_seed"/>
    <x:tableColumn id="3" name="training_seed"/>
    <x:tableColumn id="4" name="evaluation_index"/>
    <x:tableColumn id="5" name="budget"/>
    <x:tableColumn id="6" name="phase"/>
    <x:tableColumn id="7" name="architecture"/>
    <x:tableColumn id="8" name="parent_architecture"/>
    <x:tableColumn id="9" name="mutation_type"/>
    <x:tableColumn id="10" name="fitness"/>
    <x:tableColumn id="11" name="final_val_accuracy"/>
    <x:tableColumn id="12" name="observed_final_val_accuracy"/>
    <x:tableColumn id="13" name="best_val_accuracy"/>
    <x:tableColumn id="14" name="parameter_count"/>
    <x:tableColumn id="15" name="training_time_seconds"/>
    <x:tableColumn id="16" name="population_age_order"/>
    <x:tableColumn id="17" name="predicted_mu_before_training"/>
    <x:tableColumn id="18" name="surrogate_training_size"/>
    <x:tableColumn id="19" name="selected_candidate_index"/>
    <x:tableColumn id="20" name="surrogate_training_m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RawCandidatesTable" displayName="RawCandidatesTable" ref="A1:L101" headerRowCount="1" totalsRowCount="0" totalsRowShown="0">
  <x:autoFilter ref="A1:L101"/>
  <x:tableColumns count="12">
    <x:tableColumn id="1" name="method"/>
    <x:tableColumn id="2" name="search_seed"/>
    <x:tableColumn id="3" name="evaluation_index"/>
    <x:tableColumn id="4" name="parent_evaluation_index"/>
    <x:tableColumn id="5" name="parent_architecture"/>
    <x:tableColumn id="6" name="candidate_index"/>
    <x:tableColumn id="7" name="candidate_architecture"/>
    <x:tableColumn id="8" name="mutation_type"/>
    <x:tableColumn id="9" name="predicted_mu"/>
    <x:tableColumn id="10" name="selected"/>
    <x:tableColumn id="11" name="surrogate_training_size"/>
    <x:tableColumn id="12" name="surrogate_training_m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d5a66772c624f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02629e65bc454f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b635de4639284c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592a09b68aa04d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31a6ae5d07ba44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7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115" t="str">
        <x:v>RE vs SA-RE matched pilot analysis — seeds 2701 and 2702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</x:row>
    <x:row r="2">
      <x:c r="A2" s="146"/>
      <x:c r="B2" s="146"/>
      <x:c r="C2" s="146"/>
      <x:c r="D2" s="146"/>
      <x:c r="E2" s="146"/>
      <x:c r="F2" s="146"/>
      <x:c r="G2" s="146"/>
      <x:c r="H2" s="146"/>
      <x:c r="I2" s="146"/>
      <x:c r="J2" s="146"/>
      <x:c r="K2" s="146"/>
      <x:c r="L2" s="146"/>
    </x:row>
    <x:row r="3">
      <x:c r="A3" s="147" t="str">
        <x:v>Pilot scope: P=20, S=5, B=30, K=5 for SA-RE. Two seeds are descriptive evidence only; no inferential significance claim is warranted.</x:v>
      </x:c>
      <x:c r="B3" s="146"/>
      <x:c r="C3" s="146"/>
      <x:c r="D3" s="146"/>
      <x:c r="E3" s="146"/>
      <x:c r="F3" s="146"/>
      <x:c r="G3" s="146"/>
      <x:c r="H3" s="146"/>
      <x:c r="I3" s="146"/>
      <x:c r="J3" s="146"/>
      <x:c r="K3" s="146"/>
      <x:c r="L3" s="146"/>
    </x:row>
    <x:row r="4">
      <x:c r="A4" s="146"/>
      <x:c r="B4" s="146"/>
      <x:c r="C4" s="146"/>
      <x:c r="D4" s="146"/>
      <x:c r="E4" s="146"/>
      <x:c r="F4" s="146"/>
      <x:c r="G4" s="146"/>
      <x:c r="H4" s="146"/>
      <x:c r="I4" s="146"/>
      <x:c r="J4" s="146"/>
      <x:c r="K4" s="146"/>
      <x:c r="L4" s="146"/>
    </x:row>
    <x:row r="5">
      <x:c r="A5" s="148" t="str">
        <x:v>Matched initialization</x:v>
      </x:c>
      <x:c r="B5" s="148"/>
      <x:c r="C5" s="148"/>
      <x:c r="D5" s="148" t="str">
        <x:v>Mean overall best</x:v>
      </x:c>
      <x:c r="E5" s="148"/>
      <x:c r="F5" s="148"/>
      <x:c r="G5" s="148" t="str">
        <x:v>Evolution offspring mean</x:v>
      </x:c>
      <x:c r="H5" s="148"/>
      <x:c r="I5" s="148"/>
      <x:c r="J5" s="148" t="str">
        <x:v>Surrogate selected MAE</x:v>
      </x:c>
      <x:c r="K5" s="148"/>
      <x:c r="L5" s="148"/>
    </x:row>
    <x:row r="6">
      <x:c r="A6" s="119" t="str">
        <x:v>40/40 architecture
40/40 training seed</x:v>
      </x:c>
      <x:c r="B6" s="120"/>
      <x:c r="C6" s="121"/>
      <x:c r="D6" s="122" t="n">
        <x:f>'Run Metrics'!C14-'Run Metrics'!C13</x:f>
        <x:v>0.0030000000000001137</x:v>
      </x:c>
      <x:c r="E6" s="123"/>
      <x:c r="F6" s="124"/>
      <x:c r="G6" s="122" t="n">
        <x:f>'Run Metrics'!E14-'Run Metrics'!E13</x:f>
        <x:v>0.012479999999999936</x:v>
      </x:c>
      <x:c r="H6" s="123"/>
      <x:c r="I6" s="124"/>
      <x:c r="J6" s="125" t="n">
        <x:f>'Surrogate'!C8</x:f>
        <x:v>0.014730917258262633</x:v>
      </x:c>
      <x:c r="K6" s="123"/>
      <x:c r="L6" s="124"/>
    </x:row>
    <x:row r="7">
      <x:c r="A7" s="126"/>
      <x:c r="B7" s="127"/>
      <x:c r="C7" s="128"/>
      <x:c r="D7" s="129"/>
      <x:c r="E7" s="130"/>
      <x:c r="F7" s="131"/>
      <x:c r="G7" s="129"/>
      <x:c r="H7" s="130"/>
      <x:c r="I7" s="131"/>
      <x:c r="J7" s="129"/>
      <x:c r="K7" s="130"/>
      <x:c r="L7" s="131"/>
    </x:row>
    <x:row r="8">
      <x:c r="A8" s="146"/>
      <x:c r="B8" s="146"/>
      <x:c r="C8" s="146"/>
      <x:c r="D8" s="146"/>
      <x:c r="E8" s="146"/>
      <x:c r="F8" s="146"/>
      <x:c r="G8" s="146"/>
      <x:c r="H8" s="146"/>
      <x:c r="I8" s="146"/>
      <x:c r="J8" s="146"/>
      <x:c r="K8" s="146"/>
      <x:c r="L8" s="146"/>
    </x:row>
    <x:row r="9">
      <x:c r="A9" s="146"/>
      <x:c r="B9" s="146"/>
      <x:c r="C9" s="146"/>
      <x:c r="D9" s="146"/>
      <x:c r="E9" s="146"/>
      <x:c r="F9" s="146"/>
      <x:c r="G9" s="146"/>
      <x:c r="H9" s="146"/>
      <x:c r="I9" s="146"/>
      <x:c r="J9" s="146"/>
      <x:c r="K9" s="146"/>
      <x:c r="L9" s="146"/>
    </x:row>
    <x:row r="10">
      <x:c r="A10" s="132" t="str">
        <x:v>Per-seed paired comparison</x:v>
      </x:c>
      <x:c r="B10" s="146"/>
      <x:c r="C10" s="146"/>
      <x:c r="D10" s="146"/>
      <x:c r="E10" s="146"/>
      <x:c r="F10" s="146"/>
      <x:c r="G10" s="146"/>
      <x:c r="H10" s="146"/>
      <x:c r="I10" s="146"/>
      <x:c r="J10" s="146"/>
      <x:c r="K10" s="146"/>
      <x:c r="L10" s="146"/>
    </x:row>
    <x:row r="11">
      <x:c r="A11" s="133" t="str">
        <x:v>Seed</x:v>
      </x:c>
      <x:c r="B11" s="134" t="str">
        <x:v>RE best</x:v>
      </x:c>
      <x:c r="C11" s="134" t="str">
        <x:v>SA-RE best</x:v>
      </x:c>
      <x:c r="D11" s="134" t="str">
        <x:v>Raw best diff</x:v>
      </x:c>
      <x:c r="E11" s="134" t="str">
        <x:v>RE init best</x:v>
      </x:c>
      <x:c r="F11" s="134" t="str">
        <x:v>SA init best</x:v>
      </x:c>
      <x:c r="G11" s="134" t="str">
        <x:v>Adjusted gain diff</x:v>
      </x:c>
      <x:c r="H11" s="134" t="str">
        <x:v>RE evolution mean</x:v>
      </x:c>
      <x:c r="I11" s="134" t="str">
        <x:v>SA evolution mean</x:v>
      </x:c>
      <x:c r="J11" s="135" t="str">
        <x:v>Evolution mean diff</x:v>
      </x:c>
      <x:c r="K11" s="146"/>
      <x:c r="L11" s="146"/>
    </x:row>
    <x:row r="12">
      <x:c r="A12" s="149" t="n">
        <x:v>2701</x:v>
      </x:c>
      <x:c r="B12" s="150" t="n">
        <x:f>'Run Metrics'!G5</x:f>
        <x:v>0.83</x:v>
      </x:c>
      <x:c r="C12" s="150" t="n">
        <x:f>'Run Metrics'!G6</x:f>
        <x:v>0.8284</x:v>
      </x:c>
      <x:c r="D12" s="150" t="n">
        <x:f>C12-B12</x:f>
        <x:v>-0.0015999999999999348</x:v>
      </x:c>
      <x:c r="E12" s="150" t="n">
        <x:f>'Run Metrics'!D5</x:f>
        <x:v>0.8284</x:v>
      </x:c>
      <x:c r="F12" s="150" t="n">
        <x:f>'Run Metrics'!D6</x:f>
        <x:v>0.8284</x:v>
      </x:c>
      <x:c r="G12" s="150" t="n">
        <x:f>('Run Metrics'!I6-'Run Metrics'!I5)</x:f>
        <x:v>-0.0015999999999999348</x:v>
      </x:c>
      <x:c r="H12" s="150" t="n">
        <x:f>'Run Metrics'!E5</x:f>
        <x:v>0.8037400000000001</x:v>
      </x:c>
      <x:c r="I12" s="150" t="n">
        <x:f>'Run Metrics'!E6</x:f>
        <x:v>0.8077799999999999</x:v>
      </x:c>
      <x:c r="J12" s="150" t="n">
        <x:f>I12-H12</x:f>
        <x:v>0.0040399999999998215</x:v>
      </x:c>
      <x:c r="K12" s="146"/>
      <x:c r="L12" s="146"/>
    </x:row>
    <x:row r="13">
      <x:c r="A13" s="151" t="n">
        <x:v>2702</x:v>
      </x:c>
      <x:c r="B13" s="152" t="n">
        <x:f>'Run Metrics'!G7</x:f>
        <x:v>0.8156</x:v>
      </x:c>
      <x:c r="C13" s="152" t="n">
        <x:f>'Run Metrics'!G8</x:f>
        <x:v>0.8232</x:v>
      </x:c>
      <x:c r="D13" s="152" t="n">
        <x:f>C13-B13</x:f>
        <x:v>0.007600000000000051</x:v>
      </x:c>
      <x:c r="E13" s="152" t="n">
        <x:f>'Run Metrics'!D7</x:f>
        <x:v>0.8124</x:v>
      </x:c>
      <x:c r="F13" s="152" t="n">
        <x:f>'Run Metrics'!D8</x:f>
        <x:v>0.8186</x:v>
      </x:c>
      <x:c r="G13" s="152" t="n">
        <x:f>('Run Metrics'!I8-'Run Metrics'!I7)</x:f>
        <x:v>0.0014000000000000679</x:v>
      </x:c>
      <x:c r="H13" s="152" t="n">
        <x:f>'Run Metrics'!E7</x:f>
        <x:v>0.79338</x:v>
      </x:c>
      <x:c r="I13" s="152" t="n">
        <x:f>'Run Metrics'!E8</x:f>
        <x:v>0.8142999999999999</x:v>
      </x:c>
      <x:c r="J13" s="152" t="n">
        <x:f>I13-H13</x:f>
        <x:v>0.02091999999999994</x:v>
      </x:c>
      <x:c r="K13" s="146"/>
      <x:c r="L13" s="146"/>
    </x:row>
    <x:row r="14">
      <x:c r="A14" s="151" t="str">
        <x:v>Mean</x:v>
      </x:c>
      <x:c r="B14" s="152" t="n">
        <x:f>AVERAGE(B12:B13)</x:f>
        <x:v>0.8228</x:v>
      </x:c>
      <x:c r="C14" s="152" t="n">
        <x:f>AVERAGE(C12:C13)</x:f>
        <x:v>0.8258000000000001</x:v>
      </x:c>
      <x:c r="D14" s="152" t="n">
        <x:f>AVERAGE(D12:D13)</x:f>
        <x:v>0.003000000000000058</x:v>
      </x:c>
      <x:c r="E14" s="152" t="n">
        <x:f>AVERAGE(E12:E13)</x:f>
        <x:v>0.8204</x:v>
      </x:c>
      <x:c r="F14" s="152" t="n">
        <x:f>AVERAGE(F12:F13)</x:f>
        <x:v>0.8235</x:v>
      </x:c>
      <x:c r="G14" s="152" t="n">
        <x:f>AVERAGE(G12:G13)</x:f>
        <x:v>-0.00009999999999993348</x:v>
      </x:c>
      <x:c r="H14" s="152" t="n">
        <x:f>AVERAGE(H12:H13)</x:f>
        <x:v>0.79856</x:v>
      </x:c>
      <x:c r="I14" s="152" t="n">
        <x:f>AVERAGE(I12:I13)</x:f>
        <x:v>0.81104</x:v>
      </x:c>
      <x:c r="J14" s="152" t="n">
        <x:f>AVERAGE(J12:J13)</x:f>
        <x:v>0.01247999999999988</x:v>
      </x:c>
      <x:c r="K14" s="146"/>
      <x:c r="L14" s="146"/>
    </x:row>
    <x:row r="15">
      <x:c r="A15" s="146"/>
      <x:c r="B15" s="146"/>
      <x:c r="C15" s="146"/>
      <x:c r="D15" s="146"/>
      <x:c r="E15" s="146"/>
      <x:c r="F15" s="146"/>
      <x:c r="G15" s="146"/>
      <x:c r="H15" s="146"/>
      <x:c r="I15" s="146"/>
      <x:c r="J15" s="146"/>
      <x:c r="K15" s="146"/>
      <x:c r="L15" s="146"/>
    </x:row>
    <x:row r="16">
      <x:c r="A16" s="146"/>
      <x:c r="B16" s="146"/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6"/>
    </x:row>
    <x:row r="17">
      <x:c r="A17" s="132" t="str">
        <x:v>Evidence-based interpretation</x:v>
      </x:c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6"/>
    </x:row>
    <x:row r="18" ht="36" customHeight="1">
      <x:c r="A18" s="153" t="str">
        <x:v>1</x:v>
      </x:c>
      <x:c r="B18" s="154" t="str">
        <x:v>SA-RE increased mean evolution-offspring fitness in both seeds</x:v>
      </x:c>
      <x:c r="C18" s="155" t="str">
        <x:v>+0.00404 (2701), +0.02092 (2702); mean +0.01248.</x:v>
      </x:c>
      <x:c r="D18" s="146"/>
      <x:c r="E18" s="146"/>
      <x:c r="F18" s="146"/>
      <x:c r="G18" s="146"/>
      <x:c r="H18" s="146"/>
      <x:c r="I18" s="146"/>
      <x:c r="J18" s="146"/>
      <x:c r="K18" s="146"/>
      <x:c r="L18" s="146"/>
    </x:row>
    <x:row r="19" ht="36" customHeight="1">
      <x:c r="A19" s="156" t="str">
        <x:v>2</x:v>
      </x:c>
      <x:c r="B19" s="157" t="str">
        <x:v>Best-architecture advantage is not established</x:v>
      </x:c>
      <x:c r="C19" s="158" t="str">
        <x:v>Mean raw best difference is +0.00300, but mean gain-vs-own-initial difference is -0.00010.</x:v>
      </x:c>
      <x:c r="D19" s="146"/>
      <x:c r="E19" s="146"/>
      <x:c r="F19" s="146"/>
      <x:c r="G19" s="146"/>
      <x:c r="H19" s="146"/>
      <x:c r="I19" s="146"/>
      <x:c r="J19" s="146"/>
      <x:c r="K19" s="146"/>
      <x:c r="L19" s="146"/>
    </x:row>
    <x:row r="20" ht="36" customHeight="1">
      <x:c r="A20" s="156" t="str">
        <x:v>3</x:v>
      </x:c>
      <x:c r="B20" s="157" t="str">
        <x:v>Surrogate predictions are positively biased and seed-sensitive</x:v>
      </x:c>
      <x:c r="C20" s="158" t="str">
        <x:v>Selected-only MAE 0.01473; mean bias +0.01124; Pearson varies from +0.754 to -0.493.</x:v>
      </x:c>
      <x:c r="D20" s="146"/>
      <x:c r="E20" s="146"/>
      <x:c r="F20" s="146"/>
      <x:c r="G20" s="146"/>
      <x:c r="H20" s="146"/>
      <x:c r="I20" s="146"/>
      <x:c r="J20" s="146"/>
      <x:c r="K20" s="146"/>
      <x:c r="L20" s="146"/>
    </x:row>
    <x:row r="21" ht="36" customHeight="1">
      <x:c r="A21" s="156" t="str">
        <x:v>4</x:v>
      </x:c>
      <x:c r="B21" s="157" t="str">
        <x:v>Matched search initialization passed; fitness replication did not</x:v>
      </x:c>
      <x:c r="C21" s="158" t="str">
        <x:v>Architecture/training seed 40/40; exact accuracy 18/40; accuracy MAE 0.00576; max delta 0.04380.</x:v>
      </x:c>
      <x:c r="D21" s="146"/>
      <x:c r="E21" s="146"/>
      <x:c r="F21" s="146"/>
      <x:c r="G21" s="146"/>
      <x:c r="H21" s="146"/>
      <x:c r="I21" s="146"/>
      <x:c r="J21" s="146"/>
      <x:c r="K21" s="146"/>
      <x:c r="L21" s="146"/>
    </x:row>
    <x:row r="22" ht="36" customHeight="1">
      <x:c r="A22" s="156" t="str">
        <x:v>5</x:v>
      </x:c>
      <x:c r="B22" s="157" t="str">
        <x:v>Wall-time difference cannot be attributed to surrogate overhead</x:v>
      </x:c>
      <x:c r="C22" s="158" t="str">
        <x:v>Non-CNN overhead is ~1.41 min for both methods; total time is confounded by CNN/runtime variation.</x:v>
      </x:c>
      <x:c r="D22" s="146"/>
      <x:c r="E22" s="146"/>
      <x:c r="F22" s="146"/>
      <x:c r="G22" s="146"/>
      <x:c r="H22" s="146"/>
      <x:c r="I22" s="146"/>
      <x:c r="J22" s="146"/>
      <x:c r="K22" s="146"/>
      <x:c r="L22" s="146"/>
    </x:row>
    <x:row r="23" ht="36" customHeight="1">
      <x:c r="A23" s="156" t="str">
        <x:v>6</x:v>
      </x:c>
      <x:c r="B23" s="157" t="str">
        <x:v>Pilot conclusion</x:v>
      </x:c>
      <x:c r="C23" s="158" t="str">
        <x:v>SA-RE screens toward more consistently high offspring, but n=2 is insufficient to claim superior final search performance.</x:v>
      </x:c>
      <x:c r="D23" s="146"/>
      <x:c r="E23" s="146"/>
      <x:c r="F23" s="146"/>
      <x:c r="G23" s="146"/>
      <x:c r="H23" s="146"/>
      <x:c r="I23" s="146"/>
      <x:c r="J23" s="146"/>
      <x:c r="K23" s="146"/>
      <x:c r="L23" s="146"/>
    </x:row>
  </x:sheetData>
  <x:mergeCells>
    <x:mergeCell ref="A1:N2"/>
    <x:mergeCell ref="A3:N3"/>
    <x:mergeCell ref="A5:C5"/>
    <x:mergeCell ref="A6:C7"/>
    <x:mergeCell ref="D5:F5"/>
    <x:mergeCell ref="D6:F7"/>
    <x:mergeCell ref="G5:I5"/>
    <x:mergeCell ref="G6:I7"/>
    <x:mergeCell ref="J5:L5"/>
    <x:mergeCell ref="J6:L7"/>
    <x:mergeCell ref="A10:J10"/>
    <x:mergeCell ref="A17:N17"/>
  </x:mergeCells>
  <x:conditionalFormatting sqref="D12:D14">
    <x:cfRule type="cellIs" dxfId="2" priority="1" operator="greaterThan">
      <x:formula>0</x:formula>
    </x:cfRule>
    <x:cfRule type="cellIs" dxfId="3" priority="2" operator="lessThan">
      <x:formula>0</x:formula>
    </x:cfRule>
  </x:conditionalFormatting>
  <x:conditionalFormatting sqref="G12:G14">
    <x:cfRule type="cellIs" dxfId="4" priority="3" operator="greaterThan">
      <x:formula>0</x:formula>
    </x:cfRule>
    <x:cfRule type="cellIs" dxfId="5" priority="4" operator="lessThan">
      <x:formula>0</x:formula>
    </x:cfRule>
  </x:conditionalFormatting>
  <x:conditionalFormatting sqref="J12:J14">
    <x:cfRule type="cellIs" dxfId="6" priority="5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115" t="str">
        <x:v>Run-level metrics and paired comparison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  <x:c r="M1" s="146"/>
      <x:c r="N1" s="146"/>
      <x:c r="O1" s="146"/>
      <x:c r="P1" s="146"/>
      <x:c r="Q1" s="146"/>
    </x:row>
    <x:row r="2">
      <x:c r="A2" s="146"/>
      <x:c r="B2" s="146"/>
      <x:c r="C2" s="146"/>
      <x:c r="D2" s="146"/>
      <x:c r="E2" s="146"/>
      <x:c r="F2" s="146"/>
      <x:c r="G2" s="146"/>
      <x:c r="H2" s="146"/>
      <x:c r="I2" s="146"/>
      <x:c r="J2" s="146"/>
      <x:c r="K2" s="146"/>
      <x:c r="L2" s="146"/>
      <x:c r="M2" s="146"/>
      <x:c r="N2" s="146"/>
      <x:c r="O2" s="146"/>
      <x:c r="P2" s="146"/>
      <x:c r="Q2" s="146"/>
    </x:row>
    <x:row r="3">
      <x:c r="A3" s="146"/>
      <x:c r="B3" s="146"/>
      <x:c r="C3" s="146"/>
      <x:c r="D3" s="146"/>
      <x:c r="E3" s="146"/>
      <x:c r="F3" s="146"/>
      <x:c r="G3" s="146"/>
      <x:c r="H3" s="146"/>
      <x:c r="I3" s="146"/>
      <x:c r="J3" s="146"/>
      <x:c r="K3" s="146"/>
      <x:c r="L3" s="146"/>
      <x:c r="M3" s="146"/>
      <x:c r="N3" s="146"/>
      <x:c r="O3" s="146"/>
      <x:c r="P3" s="146"/>
      <x:c r="Q3" s="146"/>
    </x:row>
    <x:row r="4">
      <x:c r="A4" s="133" t="str">
        <x:v>Method</x:v>
      </x:c>
      <x:c r="B4" s="134" t="str">
        <x:v>Seed</x:v>
      </x:c>
      <x:c r="C4" s="134" t="str">
        <x:v>Init mean</x:v>
      </x:c>
      <x:c r="D4" s="134" t="str">
        <x:v>Init best</x:v>
      </x:c>
      <x:c r="E4" s="134" t="str">
        <x:v>Evolution mean</x:v>
      </x:c>
      <x:c r="F4" s="134" t="str">
        <x:v>Evolution SD</x:v>
      </x:c>
      <x:c r="G4" s="134" t="str">
        <x:v>Overall best</x:v>
      </x:c>
      <x:c r="H4" s="134" t="str">
        <x:v>Best eval</x:v>
      </x:c>
      <x:c r="I4" s="134" t="str">
        <x:v>Gain vs init best</x:v>
      </x:c>
      <x:c r="J4" s="134" t="str">
        <x:v>Final population mean</x:v>
      </x:c>
      <x:c r="K4" s="134" t="str">
        <x:v>Best-so-far AUC</x:v>
      </x:c>
      <x:c r="L4" s="134" t="str">
        <x:v>Evolution AUC</x:v>
      </x:c>
      <x:c r="M4" s="134" t="str">
        <x:v>CNN training (min)</x:v>
      </x:c>
      <x:c r="N4" s="134" t="str">
        <x:v>Wall time (min)</x:v>
      </x:c>
      <x:c r="O4" s="134" t="str">
        <x:v>Non-CNN overhead (min)</x:v>
      </x:c>
      <x:c r="P4" s="134" t="str">
        <x:v>Evolution mean params</x:v>
      </x:c>
      <x:c r="Q4" s="135" t="str">
        <x:v>Evolution mean train sec</x:v>
      </x:c>
    </x:row>
    <x:row r="5">
      <x:c r="A5" s="149" t="str">
        <x:v>RE</x:v>
      </x:c>
      <x:c r="B5" s="149" t="n">
        <x:v>2701</x:v>
      </x:c>
      <x:c r="C5" s="150" t="n">
        <x:f>AVERAGE('Raw Evaluations'!$J$2:$J$21)</x:f>
        <x:v>0.7563699999999999</x:v>
      </x:c>
      <x:c r="D5" s="150" t="n">
        <x:f>MAX('Raw Evaluations'!$J$2:$J$21)</x:f>
        <x:v>0.8284</x:v>
      </x:c>
      <x:c r="E5" s="150" t="n">
        <x:f>AVERAGE('Raw Evaluations'!$J$22:$J$31)</x:f>
        <x:v>0.8037400000000001</x:v>
      </x:c>
      <x:c r="F5" s="150" t="n">
        <x:f>STDEV.S('Raw Evaluations'!$J$22:$J$31)</x:f>
        <x:v>0.024524101523920396</x:v>
      </x:c>
      <x:c r="G5" s="150" t="n">
        <x:f>MAX('Raw Evaluations'!$J$2:$J$31)</x:f>
        <x:v>0.83</x:v>
      </x:c>
      <x:c r="H5" s="149" t="n">
        <x:f>MATCH(G5,'Raw Evaluations'!$J$2:$J$31,0)</x:f>
        <x:v>22</x:v>
      </x:c>
      <x:c r="I5" s="150" t="n">
        <x:f>G5-D5</x:f>
        <x:v>0.0015999999999999348</x:v>
      </x:c>
      <x:c r="J5" s="150" t="n">
        <x:f>AVERAGE('Raw Evaluations'!$J$12:$J$31)</x:f>
        <x:v>0.78434</x:v>
      </x:c>
      <x:c r="K5" s="150" t="n">
        <x:f>AVERAGE('Best Curves'!C$2:C$31)</x:f>
        <x:v>0.8153111111111108</x:v>
      </x:c>
      <x:c r="L5" s="150" t="n">
        <x:f>AVERAGE('Best Curves'!C$22:C$31)</x:f>
        <x:v>0.82936</x:v>
      </x:c>
      <x:c r="M5" s="163" t="n">
        <x:f>SUM('Raw Evaluations'!$O$2:$O$31)/60</x:f>
        <x:v>65.08663783833181</x:v>
      </x:c>
      <x:c r="N5" s="163" t="n">
        <x:f>66.53333333333333</x:f>
        <x:v>66.53333333333333</x:v>
      </x:c>
      <x:c r="O5" s="163" t="n">
        <x:f>N5-M5</x:f>
        <x:v>1.4466954950015207</x:v>
      </x:c>
      <x:c r="P5" s="164" t="n">
        <x:f>AVERAGE('Raw Evaluations'!$N$22:$N$31)</x:f>
        <x:v>774151.6</x:v>
      </x:c>
      <x:c r="Q5" s="163" t="n">
        <x:f>AVERAGE('Raw Evaluations'!$O$22:$O$31)</x:f>
        <x:v>109.75022507999384</x:v>
      </x:c>
    </x:row>
    <x:row r="6">
      <x:c r="A6" s="151" t="str">
        <x:v>SA-RE</x:v>
      </x:c>
      <x:c r="B6" s="151" t="n">
        <x:v>2701</x:v>
      </x:c>
      <x:c r="C6" s="152" t="n">
        <x:f>AVERAGE('Raw Evaluations'!$J$32:$J$51)</x:f>
        <x:v>0.7591399999999999</x:v>
      </x:c>
      <x:c r="D6" s="152" t="n">
        <x:f>MAX('Raw Evaluations'!$J$32:$J$51)</x:f>
        <x:v>0.8284</x:v>
      </x:c>
      <x:c r="E6" s="152" t="n">
        <x:f>AVERAGE('Raw Evaluations'!$J$52:$J$61)</x:f>
        <x:v>0.8077799999999999</x:v>
      </x:c>
      <x:c r="F6" s="152" t="n">
        <x:f>STDEV.S('Raw Evaluations'!$J$52:$J$61)</x:f>
        <x:v>0.021327592977694935</x:v>
      </x:c>
      <x:c r="G6" s="152" t="n">
        <x:f>MAX('Raw Evaluations'!$J$32:$J$61)</x:f>
        <x:v>0.8284</x:v>
      </x:c>
      <x:c r="H6" s="151" t="n">
        <x:f>MATCH(G6,'Raw Evaluations'!$J$32:$J$61,0)</x:f>
        <x:v>7</x:v>
      </x:c>
      <x:c r="I6" s="152" t="n">
        <x:f>G6-D6</x:f>
        <x:v>0</x:v>
      </x:c>
      <x:c r="J6" s="152" t="n">
        <x:f>AVERAGE('Raw Evaluations'!$J$42:$J$61)</x:f>
        <x:v>0.78665</x:v>
      </x:c>
      <x:c r="K6" s="152" t="n">
        <x:f>AVERAGE('Best Curves'!E$2:E$31)</x:f>
        <x:v>0.8151333333333329</x:v>
      </x:c>
      <x:c r="L6" s="152" t="n">
        <x:f>AVERAGE('Best Curves'!E$22:E$31)</x:f>
        <x:v>0.8284</x:v>
      </x:c>
      <x:c r="M6" s="165" t="n">
        <x:f>SUM('Raw Evaluations'!$O$32:$O$61)/60</x:f>
        <x:v>68.77634187666699</x:v>
      </x:c>
      <x:c r="N6" s="165" t="n">
        <x:f>70.18333333333334</x:f>
        <x:v>70.18333333333334</x:v>
      </x:c>
      <x:c r="O6" s="165" t="n">
        <x:f>N6-M6</x:f>
        <x:v>1.406991456666347</x:v>
      </x:c>
      <x:c r="P6" s="166" t="n">
        <x:f>AVERAGE('Raw Evaluations'!$N$52:$N$61)</x:f>
        <x:v>813776.8</x:v>
      </x:c>
      <x:c r="Q6" s="165" t="n">
        <x:f>AVERAGE('Raw Evaluations'!$O$52:$O$61)</x:f>
        <x:v>122.04624486000685</x:v>
      </x:c>
    </x:row>
    <x:row r="7">
      <x:c r="A7" s="151" t="str">
        <x:v>RE</x:v>
      </x:c>
      <x:c r="B7" s="151" t="n">
        <x:v>2702</x:v>
      </x:c>
      <x:c r="C7" s="152" t="n">
        <x:f>AVERAGE('Raw Evaluations'!$J$62:$J$81)</x:f>
        <x:v>0.7591300000000001</x:v>
      </x:c>
      <x:c r="D7" s="152" t="n">
        <x:f>MAX('Raw Evaluations'!$J$62:$J$81)</x:f>
        <x:v>0.8124</x:v>
      </x:c>
      <x:c r="E7" s="152" t="n">
        <x:f>AVERAGE('Raw Evaluations'!$J$82:$J$91)</x:f>
        <x:v>0.79338</x:v>
      </x:c>
      <x:c r="F7" s="152" t="n">
        <x:f>STDEV.S('Raw Evaluations'!$J$82:$J$91)</x:f>
        <x:v>0.018864534626294557</x:v>
      </x:c>
      <x:c r="G7" s="152" t="n">
        <x:f>MAX('Raw Evaluations'!$J$62:$J$91)</x:f>
        <x:v>0.8156</x:v>
      </x:c>
      <x:c r="H7" s="151" t="n">
        <x:f>MATCH(G7,'Raw Evaluations'!$J$62:$J$91,0)</x:f>
        <x:v>21</x:v>
      </x:c>
      <x:c r="I7" s="152" t="n">
        <x:f>G7-D7</x:f>
        <x:v>0.0031999999999999806</x:v>
      </x:c>
      <x:c r="J7" s="152" t="n">
        <x:f>AVERAGE('Raw Evaluations'!$J$72:$J$91)</x:f>
        <x:v>0.7754500000000001</x:v>
      </x:c>
      <x:c r="K7" s="152" t="n">
        <x:f>AVERAGE('Best Curves'!G$2:G$31)</x:f>
        <x:v>0.809325925925926</x:v>
      </x:c>
      <x:c r="L7" s="152" t="n">
        <x:f>AVERAGE('Best Curves'!G$22:G$31)</x:f>
        <x:v>0.81464</x:v>
      </x:c>
      <x:c r="M7" s="165" t="n">
        <x:f>SUM('Raw Evaluations'!$O$62:$O$91)/60</x:f>
        <x:v>66.35420385833471</x:v>
      </x:c>
      <x:c r="N7" s="165" t="n">
        <x:f>67.73333333333333</x:f>
        <x:v>67.73333333333333</x:v>
      </x:c>
      <x:c r="O7" s="165" t="n">
        <x:f>N7-M7</x:f>
        <x:v>1.3791294749986207</x:v>
      </x:c>
      <x:c r="P7" s="166" t="n">
        <x:f>AVERAGE('Raw Evaluations'!$N$82:$N$91)</x:f>
        <x:v>732110.8</x:v>
      </x:c>
      <x:c r="Q7" s="165" t="n">
        <x:f>AVERAGE('Raw Evaluations'!$O$82:$O$91)</x:f>
        <x:v>110.26939733000181</x:v>
      </x:c>
    </x:row>
    <x:row r="8">
      <x:c r="A8" s="151" t="str">
        <x:v>SA-RE</x:v>
      </x:c>
      <x:c r="B8" s="151" t="n">
        <x:v>2702</x:v>
      </x:c>
      <x:c r="C8" s="152" t="n">
        <x:f>AVERAGE('Raw Evaluations'!$J$92:$J$111)</x:f>
        <x:v>0.7600800000000001</x:v>
      </x:c>
      <x:c r="D8" s="152" t="n">
        <x:f>MAX('Raw Evaluations'!$J$92:$J$111)</x:f>
        <x:v>0.8186</x:v>
      </x:c>
      <x:c r="E8" s="152" t="n">
        <x:f>AVERAGE('Raw Evaluations'!$J$112:$J$121)</x:f>
        <x:v>0.8142999999999999</x:v>
      </x:c>
      <x:c r="F8" s="152" t="n">
        <x:f>STDEV.S('Raw Evaluations'!$J$112:$J$121)</x:f>
        <x:v>0.006564043469285275</x:v>
      </x:c>
      <x:c r="G8" s="152" t="n">
        <x:f>MAX('Raw Evaluations'!$J$92:$J$121)</x:f>
        <x:v>0.8232</x:v>
      </x:c>
      <x:c r="H8" s="151" t="n">
        <x:f>MATCH(G8,'Raw Evaluations'!$J$92:$J$121,0)</x:f>
        <x:v>23</x:v>
      </x:c>
      <x:c r="I8" s="152" t="n">
        <x:f>G8-D8</x:f>
        <x:v>0.0046000000000000485</x:v>
      </x:c>
      <x:c r="J8" s="152" t="n">
        <x:f>AVERAGE('Raw Evaluations'!$J$102:$J$121)</x:f>
        <x:v>0.7860200000000002</x:v>
      </x:c>
      <x:c r="K8" s="152" t="n">
        <x:f>AVERAGE('Best Curves'!I$2:I$31)</x:f>
        <x:v>0.8115555555555555</x:v>
      </x:c>
      <x:c r="L8" s="152" t="n">
        <x:f>AVERAGE('Best Curves'!I$22:I$31)</x:f>
        <x:v>0.82096</x:v>
      </x:c>
      <x:c r="M8" s="165" t="n">
        <x:f>SUM('Raw Evaluations'!$O$92:$O$121)/60</x:f>
        <x:v>74.32926230833351</x:v>
      </x:c>
      <x:c r="N8" s="165" t="n">
        <x:f>75.73333333333333</x:f>
        <x:v>75.73333333333333</x:v>
      </x:c>
      <x:c r="O8" s="165" t="n">
        <x:f>N8-M8</x:f>
        <x:v>1.4040710249998227</x:v>
      </x:c>
      <x:c r="P8" s="166" t="n">
        <x:f>AVERAGE('Raw Evaluations'!$N$112:$N$121)</x:f>
        <x:v>729890.8</x:v>
      </x:c>
      <x:c r="Q8" s="165" t="n">
        <x:f>AVERAGE('Raw Evaluations'!$O$112:$O$121)</x:f>
        <x:v>122.97343180000026</x:v>
      </x:c>
    </x:row>
    <x:row r="9">
      <x:c r="A9" s="146"/>
      <x:c r="B9" s="146"/>
      <x:c r="C9" s="146"/>
      <x:c r="D9" s="146"/>
      <x:c r="E9" s="146"/>
      <x:c r="F9" s="146"/>
      <x:c r="G9" s="146"/>
      <x:c r="H9" s="146"/>
      <x:c r="I9" s="146"/>
      <x:c r="J9" s="146"/>
      <x:c r="K9" s="146"/>
      <x:c r="L9" s="146"/>
      <x:c r="M9" s="146"/>
      <x:c r="N9" s="146"/>
      <x:c r="O9" s="146"/>
      <x:c r="P9" s="146"/>
      <x:c r="Q9" s="146"/>
    </x:row>
    <x:row r="10">
      <x:c r="A10" s="146"/>
      <x:c r="B10" s="146"/>
      <x:c r="C10" s="146"/>
      <x:c r="D10" s="146"/>
      <x:c r="E10" s="146"/>
      <x:c r="F10" s="146"/>
      <x:c r="G10" s="146"/>
      <x:c r="H10" s="146"/>
      <x:c r="I10" s="146"/>
      <x:c r="J10" s="146"/>
      <x:c r="K10" s="146"/>
      <x:c r="L10" s="146"/>
      <x:c r="M10" s="146"/>
      <x:c r="N10" s="146"/>
      <x:c r="O10" s="146"/>
      <x:c r="P10" s="146"/>
      <x:c r="Q10" s="146"/>
    </x:row>
    <x:row r="11">
      <x:c r="A11" s="132" t="str">
        <x:v>Across-seed method summary (n=2; descriptive only)</x:v>
      </x:c>
      <x:c r="B11" s="146"/>
      <x:c r="C11" s="146"/>
      <x:c r="D11" s="146"/>
      <x:c r="E11" s="146"/>
      <x:c r="F11" s="146"/>
      <x:c r="G11" s="146"/>
      <x:c r="H11" s="146"/>
      <x:c r="I11" s="146"/>
      <x:c r="J11" s="146"/>
      <x:c r="K11" s="146"/>
      <x:c r="L11" s="146"/>
      <x:c r="M11" s="146"/>
      <x:c r="N11" s="146"/>
      <x:c r="O11" s="146"/>
      <x:c r="P11" s="146"/>
      <x:c r="Q11" s="146"/>
    </x:row>
    <x:row r="12">
      <x:c r="A12" s="133" t="str">
        <x:v>Method</x:v>
      </x:c>
      <x:c r="B12" s="134" t="str">
        <x:v>Mean init best</x:v>
      </x:c>
      <x:c r="C12" s="134" t="str">
        <x:v>Mean overall best</x:v>
      </x:c>
      <x:c r="D12" s="134" t="str">
        <x:v>Mean gain vs init</x:v>
      </x:c>
      <x:c r="E12" s="134" t="str">
        <x:v>Mean evolution fitness</x:v>
      </x:c>
      <x:c r="F12" s="134" t="str">
        <x:v>Mean final population</x:v>
      </x:c>
      <x:c r="G12" s="134" t="str">
        <x:v>Mean AUC</x:v>
      </x:c>
      <x:c r="H12" s="134" t="str">
        <x:v>Mean wall min</x:v>
      </x:c>
      <x:c r="I12" s="135" t="str">
        <x:v>Mean non-CNN overhead min</x:v>
      </x:c>
      <x:c r="J12" s="146"/>
      <x:c r="K12" s="146"/>
      <x:c r="L12" s="146"/>
      <x:c r="M12" s="146"/>
      <x:c r="N12" s="146"/>
      <x:c r="O12" s="146"/>
      <x:c r="P12" s="146"/>
      <x:c r="Q12" s="146"/>
    </x:row>
    <x:row r="13">
      <x:c r="A13" s="149" t="str">
        <x:v>RE</x:v>
      </x:c>
      <x:c r="B13" s="150" t="n">
        <x:f>AVERAGE(D5,D7)</x:f>
        <x:v>0.8204</x:v>
      </x:c>
      <x:c r="C13" s="150" t="n">
        <x:f>AVERAGE(G5,G7)</x:f>
        <x:v>0.8228</x:v>
      </x:c>
      <x:c r="D13" s="150" t="n">
        <x:f>AVERAGE(I5,I7)</x:f>
        <x:v>0.0023999999999999577</x:v>
      </x:c>
      <x:c r="E13" s="150" t="n">
        <x:f>AVERAGE(E5,E7)</x:f>
        <x:v>0.79856</x:v>
      </x:c>
      <x:c r="F13" s="150" t="n">
        <x:f>AVERAGE(J5,J7)</x:f>
        <x:v>0.779895</x:v>
      </x:c>
      <x:c r="G13" s="150" t="n">
        <x:f>AVERAGE(K5,K7)</x:f>
        <x:v>0.8123185185185184</x:v>
      </x:c>
      <x:c r="H13" s="163" t="n">
        <x:f>AVERAGE(N5,N7)</x:f>
        <x:v>67.13333333333333</x:v>
      </x:c>
      <x:c r="I13" s="163" t="n">
        <x:f>AVERAGE(O5,O7)</x:f>
        <x:v>1.4129124850000707</x:v>
      </x:c>
      <x:c r="J13" s="146"/>
      <x:c r="K13" s="146"/>
      <x:c r="L13" s="146"/>
      <x:c r="M13" s="146"/>
      <x:c r="N13" s="146"/>
      <x:c r="O13" s="146"/>
      <x:c r="P13" s="146"/>
      <x:c r="Q13" s="146"/>
    </x:row>
    <x:row r="14">
      <x:c r="A14" s="151" t="str">
        <x:v>SA-RE</x:v>
      </x:c>
      <x:c r="B14" s="152" t="n">
        <x:f>AVERAGE(D6,D8)</x:f>
        <x:v>0.8235</x:v>
      </x:c>
      <x:c r="C14" s="152" t="n">
        <x:f>AVERAGE(G6,G8)</x:f>
        <x:v>0.8258000000000001</x:v>
      </x:c>
      <x:c r="D14" s="152" t="n">
        <x:f>AVERAGE(I6,I8)</x:f>
        <x:v>0.0023000000000000242</x:v>
      </x:c>
      <x:c r="E14" s="152" t="n">
        <x:f>AVERAGE(E6,E8)</x:f>
        <x:v>0.81104</x:v>
      </x:c>
      <x:c r="F14" s="152" t="n">
        <x:f>AVERAGE(J6,J8)</x:f>
        <x:v>0.786335</x:v>
      </x:c>
      <x:c r="G14" s="152" t="n">
        <x:f>AVERAGE(K6,K8)</x:f>
        <x:v>0.8133444444444442</x:v>
      </x:c>
      <x:c r="H14" s="165" t="n">
        <x:f>AVERAGE(N6,N8)</x:f>
        <x:v>72.95833333333334</x:v>
      </x:c>
      <x:c r="I14" s="165" t="n">
        <x:f>AVERAGE(O6,O8)</x:f>
        <x:v>1.405531240833085</x:v>
      </x:c>
      <x:c r="J14" s="146"/>
      <x:c r="K14" s="146"/>
      <x:c r="L14" s="146"/>
      <x:c r="M14" s="146"/>
      <x:c r="N14" s="146"/>
      <x:c r="O14" s="146"/>
      <x:c r="P14" s="146"/>
      <x:c r="Q14" s="146"/>
    </x:row>
    <x:row r="15">
      <x:c r="A15" s="146"/>
      <x:c r="B15" s="146"/>
      <x:c r="C15" s="146"/>
      <x:c r="D15" s="146"/>
      <x:c r="E15" s="146"/>
      <x:c r="F15" s="146"/>
      <x:c r="G15" s="146"/>
      <x:c r="H15" s="146"/>
      <x:c r="I15" s="146"/>
      <x:c r="J15" s="146"/>
      <x:c r="K15" s="146"/>
      <x:c r="L15" s="146"/>
      <x:c r="M15" s="146"/>
      <x:c r="N15" s="146"/>
      <x:c r="O15" s="146"/>
      <x:c r="P15" s="146"/>
      <x:c r="Q15" s="146"/>
    </x:row>
    <x:row r="16">
      <x:c r="A16" s="146"/>
      <x:c r="B16" s="146"/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6"/>
      <x:c r="M16" s="146"/>
      <x:c r="N16" s="146"/>
      <x:c r="O16" s="146"/>
      <x:c r="P16" s="146"/>
      <x:c r="Q16" s="146"/>
    </x:row>
    <x:row r="17">
      <x:c r="A17" s="132" t="str">
        <x:v>Paired differences (SA-RE minus RE)</x:v>
      </x:c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6"/>
      <x:c r="M17" s="146"/>
      <x:c r="N17" s="146"/>
      <x:c r="O17" s="146"/>
      <x:c r="P17" s="146"/>
      <x:c r="Q17" s="146"/>
    </x:row>
    <x:row r="18">
      <x:c r="A18" s="133" t="str">
        <x:v>Seed</x:v>
      </x:c>
      <x:c r="B18" s="134" t="str">
        <x:v>Raw best diff</x:v>
      </x:c>
      <x:c r="C18" s="134" t="str">
        <x:v>Init best diff</x:v>
      </x:c>
      <x:c r="D18" s="134" t="str">
        <x:v>Adjusted gain diff</x:v>
      </x:c>
      <x:c r="E18" s="134" t="str">
        <x:v>Evolution mean diff</x:v>
      </x:c>
      <x:c r="F18" s="134" t="str">
        <x:v>Final population diff</x:v>
      </x:c>
      <x:c r="G18" s="134" t="str">
        <x:v>AUC diff</x:v>
      </x:c>
      <x:c r="H18" s="135" t="str">
        <x:v>Wall min diff</x:v>
      </x:c>
      <x:c r="I18" s="146"/>
      <x:c r="J18" s="146"/>
      <x:c r="K18" s="146"/>
      <x:c r="L18" s="146"/>
      <x:c r="M18" s="146"/>
      <x:c r="N18" s="146"/>
      <x:c r="O18" s="146"/>
      <x:c r="P18" s="146"/>
      <x:c r="Q18" s="146"/>
    </x:row>
    <x:row r="19">
      <x:c r="A19" s="149" t="n">
        <x:v>2701</x:v>
      </x:c>
      <x:c r="B19" s="150" t="n">
        <x:f>G6-G5</x:f>
        <x:v>-0.0015999999999999348</x:v>
      </x:c>
      <x:c r="C19" s="150" t="n">
        <x:f>D6-D5</x:f>
        <x:v>0</x:v>
      </x:c>
      <x:c r="D19" s="150" t="n">
        <x:f>I6-I5</x:f>
        <x:v>-0.0015999999999999348</x:v>
      </x:c>
      <x:c r="E19" s="150" t="n">
        <x:f>E6-E5</x:f>
        <x:v>0.0040399999999998215</x:v>
      </x:c>
      <x:c r="F19" s="150" t="n">
        <x:f>J6-J5</x:f>
        <x:v>0.0023099999999999232</x:v>
      </x:c>
      <x:c r="G19" s="150" t="n">
        <x:f>K6-K5</x:f>
        <x:v>-0.0001777777777778322</x:v>
      </x:c>
      <x:c r="H19" s="163" t="n">
        <x:f>N6-N5</x:f>
        <x:v>3.6500000000000057</x:v>
      </x:c>
      <x:c r="I19" s="146"/>
      <x:c r="J19" s="146"/>
      <x:c r="K19" s="146"/>
      <x:c r="L19" s="146"/>
      <x:c r="M19" s="146"/>
      <x:c r="N19" s="146"/>
      <x:c r="O19" s="146"/>
      <x:c r="P19" s="146"/>
      <x:c r="Q19" s="146"/>
    </x:row>
    <x:row r="20">
      <x:c r="A20" s="151" t="n">
        <x:v>2702</x:v>
      </x:c>
      <x:c r="B20" s="152" t="n">
        <x:f>G8-G7</x:f>
        <x:v>0.007600000000000051</x:v>
      </x:c>
      <x:c r="C20" s="152" t="n">
        <x:f>D8-D7</x:f>
        <x:v>0.006199999999999983</x:v>
      </x:c>
      <x:c r="D20" s="152" t="n">
        <x:f>I8-I7</x:f>
        <x:v>0.0014000000000000679</x:v>
      </x:c>
      <x:c r="E20" s="152" t="n">
        <x:f>E8-E7</x:f>
        <x:v>0.02091999999999994</x:v>
      </x:c>
      <x:c r="F20" s="152" t="n">
        <x:f>J8-J7</x:f>
        <x:v>0.01057000000000008</x:v>
      </x:c>
      <x:c r="G20" s="152" t="n">
        <x:f>K8-K7</x:f>
        <x:v>0.0022296296296294704</x:v>
      </x:c>
      <x:c r="H20" s="165" t="n">
        <x:f>N8-N7</x:f>
        <x:v>8</x:v>
      </x:c>
      <x:c r="I20" s="146"/>
      <x:c r="J20" s="146"/>
      <x:c r="K20" s="146"/>
      <x:c r="L20" s="146"/>
      <x:c r="M20" s="146"/>
      <x:c r="N20" s="146"/>
      <x:c r="O20" s="146"/>
      <x:c r="P20" s="146"/>
      <x:c r="Q20" s="146"/>
    </x:row>
    <x:row r="21">
      <x:c r="A21" s="151" t="str">
        <x:v>Mean</x:v>
      </x:c>
      <x:c r="B21" s="152" t="n">
        <x:f>AVERAGE(B19:B20)</x:f>
        <x:v>0.003000000000000058</x:v>
      </x:c>
      <x:c r="C21" s="152" t="n">
        <x:f>AVERAGE(C19:C20)</x:f>
        <x:v>0.0030999999999999917</x:v>
      </x:c>
      <x:c r="D21" s="152" t="n">
        <x:f>AVERAGE(D19:D20)</x:f>
        <x:v>-0.00009999999999993348</x:v>
      </x:c>
      <x:c r="E21" s="152" t="n">
        <x:f>AVERAGE(E19:E20)</x:f>
        <x:v>0.01247999999999988</x:v>
      </x:c>
      <x:c r="F21" s="152" t="n">
        <x:f>AVERAGE(F19:F20)</x:f>
        <x:v>0.006440000000000001</x:v>
      </x:c>
      <x:c r="G21" s="152" t="n">
        <x:f>AVERAGE(G19:G20)</x:f>
        <x:v>0.001025925925925819</x:v>
      </x:c>
      <x:c r="H21" s="165" t="n">
        <x:f>AVERAGE(H19:H20)</x:f>
        <x:v>5.825000000000003</x:v>
      </x:c>
      <x:c r="I21" s="146"/>
      <x:c r="J21" s="146"/>
      <x:c r="K21" s="146"/>
      <x:c r="L21" s="146"/>
      <x:c r="M21" s="146"/>
      <x:c r="N21" s="146"/>
      <x:c r="O21" s="146"/>
      <x:c r="P21" s="146"/>
      <x:c r="Q21" s="146"/>
    </x:row>
  </x:sheetData>
  <x:mergeCells>
    <x:mergeCell ref="A1:Q2"/>
    <x:mergeCell ref="A11:I11"/>
    <x:mergeCell ref="A17:H17"/>
  </x:mergeCells>
  <x:conditionalFormatting sqref="B19:G21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15" t="str">
        <x:v>Fitness and best-so-far trajectories</x:v>
      </x:c>
      <x:c r="B1" s="146"/>
      <x:c r="C1" s="146"/>
      <x:c r="D1" s="146"/>
      <x:c r="E1" s="146"/>
      <x:c r="F1" s="146"/>
      <x:c r="G1" s="146"/>
      <x:c r="H1" s="146"/>
      <x:c r="I1" s="146"/>
    </x:row>
    <x:row r="2">
      <x:c r="A2" s="146"/>
      <x:c r="B2" s="146"/>
      <x:c r="C2" s="146"/>
      <x:c r="D2" s="146"/>
      <x:c r="E2" s="146"/>
      <x:c r="F2" s="146"/>
      <x:c r="G2" s="146"/>
      <x:c r="H2" s="146"/>
      <x:c r="I2" s="146"/>
    </x:row>
    <x:row r="3">
      <x:c r="A3" s="146"/>
      <x:c r="B3" s="146"/>
      <x:c r="C3" s="146"/>
      <x:c r="D3" s="146"/>
      <x:c r="E3" s="146"/>
      <x:c r="F3" s="146"/>
      <x:c r="G3" s="146"/>
      <x:c r="H3" s="146"/>
      <x:c r="I3" s="146"/>
    </x:row>
    <x:row r="4">
      <x:c r="A4" s="133" t="str">
        <x:v>Evaluation</x:v>
      </x:c>
      <x:c r="B4" s="134" t="str">
        <x:v>RE 2701 fitness</x:v>
      </x:c>
      <x:c r="C4" s="134" t="str">
        <x:v>RE 2701 best</x:v>
      </x:c>
      <x:c r="D4" s="134" t="str">
        <x:v>SA-RE 2701 fitness</x:v>
      </x:c>
      <x:c r="E4" s="134" t="str">
        <x:v>SA-RE 2701 best</x:v>
      </x:c>
      <x:c r="F4" s="134" t="str">
        <x:v>RE 2702 fitness</x:v>
      </x:c>
      <x:c r="G4" s="134" t="str">
        <x:v>RE 2702 best</x:v>
      </x:c>
      <x:c r="H4" s="134" t="str">
        <x:v>SA-RE 2702 fitness</x:v>
      </x:c>
      <x:c r="I4" s="135" t="str">
        <x:v>SA-RE 2702 best</x:v>
      </x:c>
    </x:row>
    <x:row r="5">
      <x:c r="A5" s="149" t="n">
        <x:v>1</x:v>
      </x:c>
      <x:c r="B5" s="150" t="n">
        <x:f>'Raw Evaluations'!$J$2</x:f>
        <x:v>0.7066</x:v>
      </x:c>
      <x:c r="C5" s="150" t="n">
        <x:f>MAX(B$5:B5)</x:f>
        <x:v>0.7066</x:v>
      </x:c>
      <x:c r="D5" s="150" t="n">
        <x:f>'Raw Evaluations'!$J$32</x:f>
        <x:v>0.7114</x:v>
      </x:c>
      <x:c r="E5" s="150" t="n">
        <x:f>MAX(D$5:D5)</x:f>
        <x:v>0.7114</x:v>
      </x:c>
      <x:c r="F5" s="150" t="n">
        <x:f>'Raw Evaluations'!$J$62</x:f>
        <x:v>0.7518</x:v>
      </x:c>
      <x:c r="G5" s="150" t="n">
        <x:f>MAX(F$5:F5)</x:f>
        <x:v>0.7518</x:v>
      </x:c>
      <x:c r="H5" s="150" t="n">
        <x:f>'Raw Evaluations'!$J$92</x:f>
        <x:v>0.761</x:v>
      </x:c>
      <x:c r="I5" s="150" t="n">
        <x:f>MAX(H$5:H5)</x:f>
        <x:v>0.761</x:v>
      </x:c>
    </x:row>
    <x:row r="6">
      <x:c r="A6" s="151" t="n">
        <x:v>2</x:v>
      </x:c>
      <x:c r="B6" s="152" t="n">
        <x:f>'Raw Evaluations'!$J$3</x:f>
        <x:v>0.7572</x:v>
      </x:c>
      <x:c r="C6" s="152" t="n">
        <x:f>MAX(B$5:B6)</x:f>
        <x:v>0.7572</x:v>
      </x:c>
      <x:c r="D6" s="152" t="n">
        <x:f>'Raw Evaluations'!$J$33</x:f>
        <x:v>0.7572</x:v>
      </x:c>
      <x:c r="E6" s="152" t="n">
        <x:f>MAX(D$5:D6)</x:f>
        <x:v>0.7572</x:v>
      </x:c>
      <x:c r="F6" s="152" t="n">
        <x:f>'Raw Evaluations'!$J$63</x:f>
        <x:v>0.8044</x:v>
      </x:c>
      <x:c r="G6" s="152" t="n">
        <x:f>MAX(F$5:F6)</x:f>
        <x:v>0.8044</x:v>
      </x:c>
      <x:c r="H6" s="152" t="n">
        <x:f>'Raw Evaluations'!$J$93</x:f>
        <x:v>0.8044</x:v>
      </x:c>
      <x:c r="I6" s="152" t="n">
        <x:f>MAX(H$5:H6)</x:f>
        <x:v>0.8044</x:v>
      </x:c>
    </x:row>
    <x:row r="7">
      <x:c r="A7" s="151" t="n">
        <x:v>3</x:v>
      </x:c>
      <x:c r="B7" s="152" t="n">
        <x:f>'Raw Evaluations'!$J$4</x:f>
        <x:v>0.6988</x:v>
      </x:c>
      <x:c r="C7" s="152" t="n">
        <x:f>MAX(B$5:B7)</x:f>
        <x:v>0.7572</x:v>
      </x:c>
      <x:c r="D7" s="152" t="n">
        <x:f>'Raw Evaluations'!$J$34</x:f>
        <x:v>0.6998</x:v>
      </x:c>
      <x:c r="E7" s="152" t="n">
        <x:f>MAX(D$5:D7)</x:f>
        <x:v>0.7572</x:v>
      </x:c>
      <x:c r="F7" s="152" t="n">
        <x:f>'Raw Evaluations'!$J$64</x:f>
        <x:v>0.7646</x:v>
      </x:c>
      <x:c r="G7" s="152" t="n">
        <x:f>MAX(F$5:F7)</x:f>
        <x:v>0.8044</x:v>
      </x:c>
      <x:c r="H7" s="152" t="n">
        <x:f>'Raw Evaluations'!$J$94</x:f>
        <x:v>0.7618</x:v>
      </x:c>
      <x:c r="I7" s="152" t="n">
        <x:f>MAX(H$5:H7)</x:f>
        <x:v>0.8044</x:v>
      </x:c>
    </x:row>
    <x:row r="8">
      <x:c r="A8" s="151" t="n">
        <x:v>4</x:v>
      </x:c>
      <x:c r="B8" s="152" t="n">
        <x:f>'Raw Evaluations'!$J$5</x:f>
        <x:v>0.7056</x:v>
      </x:c>
      <x:c r="C8" s="152" t="n">
        <x:f>MAX(B$5:B8)</x:f>
        <x:v>0.7572</x:v>
      </x:c>
      <x:c r="D8" s="152" t="n">
        <x:f>'Raw Evaluations'!$J$35</x:f>
        <x:v>0.7056</x:v>
      </x:c>
      <x:c r="E8" s="152" t="n">
        <x:f>MAX(D$5:D8)</x:f>
        <x:v>0.7572</x:v>
      </x:c>
      <x:c r="F8" s="152" t="n">
        <x:f>'Raw Evaluations'!$J$65</x:f>
        <x:v>0.8092</x:v>
      </x:c>
      <x:c r="G8" s="152" t="n">
        <x:f>MAX(F$5:F8)</x:f>
        <x:v>0.8092</x:v>
      </x:c>
      <x:c r="H8" s="152" t="n">
        <x:f>'Raw Evaluations'!$J$95</x:f>
        <x:v>0.802</x:v>
      </x:c>
      <x:c r="I8" s="152" t="n">
        <x:f>MAX(H$5:H8)</x:f>
        <x:v>0.8044</x:v>
      </x:c>
    </x:row>
    <x:row r="9">
      <x:c r="A9" s="151" t="n">
        <x:v>5</x:v>
      </x:c>
      <x:c r="B9" s="152" t="n">
        <x:f>'Raw Evaluations'!$J$6</x:f>
        <x:v>0.8146</x:v>
      </x:c>
      <x:c r="C9" s="152" t="n">
        <x:f>MAX(B$5:B9)</x:f>
        <x:v>0.8146</x:v>
      </x:c>
      <x:c r="D9" s="152" t="n">
        <x:f>'Raw Evaluations'!$J$36</x:f>
        <x:v>0.8146</x:v>
      </x:c>
      <x:c r="E9" s="152" t="n">
        <x:f>MAX(D$5:D9)</x:f>
        <x:v>0.8146</x:v>
      </x:c>
      <x:c r="F9" s="152" t="n">
        <x:f>'Raw Evaluations'!$J$66</x:f>
        <x:v>0.757</x:v>
      </x:c>
      <x:c r="G9" s="152" t="n">
        <x:f>MAX(F$5:F9)</x:f>
        <x:v>0.8092</x:v>
      </x:c>
      <x:c r="H9" s="152" t="n">
        <x:f>'Raw Evaluations'!$J$96</x:f>
        <x:v>0.7768</x:v>
      </x:c>
      <x:c r="I9" s="152" t="n">
        <x:f>MAX(H$5:H9)</x:f>
        <x:v>0.8044</x:v>
      </x:c>
    </x:row>
    <x:row r="10">
      <x:c r="A10" s="151" t="n">
        <x:v>6</x:v>
      </x:c>
      <x:c r="B10" s="152" t="n">
        <x:f>'Raw Evaluations'!$J$7</x:f>
        <x:v>0.768</x:v>
      </x:c>
      <x:c r="C10" s="152" t="n">
        <x:f>MAX(B$5:B10)</x:f>
        <x:v>0.8146</x:v>
      </x:c>
      <x:c r="D10" s="152" t="n">
        <x:f>'Raw Evaluations'!$J$37</x:f>
        <x:v>0.768</x:v>
      </x:c>
      <x:c r="E10" s="152" t="n">
        <x:f>MAX(D$5:D10)</x:f>
        <x:v>0.8146</x:v>
      </x:c>
      <x:c r="F10" s="152" t="n">
        <x:f>'Raw Evaluations'!$J$67</x:f>
        <x:v>0.6414</x:v>
      </x:c>
      <x:c r="G10" s="152" t="n">
        <x:f>MAX(F$5:F10)</x:f>
        <x:v>0.8092</x:v>
      </x:c>
      <x:c r="H10" s="152" t="n">
        <x:f>'Raw Evaluations'!$J$97</x:f>
        <x:v>0.6414</x:v>
      </x:c>
      <x:c r="I10" s="152" t="n">
        <x:f>MAX(H$5:H10)</x:f>
        <x:v>0.8044</x:v>
      </x:c>
    </x:row>
    <x:row r="11">
      <x:c r="A11" s="151" t="n">
        <x:v>7</x:v>
      </x:c>
      <x:c r="B11" s="152" t="n">
        <x:f>'Raw Evaluations'!$J$8</x:f>
        <x:v>0.8284</x:v>
      </x:c>
      <x:c r="C11" s="152" t="n">
        <x:f>MAX(B$5:B11)</x:f>
        <x:v>0.8284</x:v>
      </x:c>
      <x:c r="D11" s="152" t="n">
        <x:f>'Raw Evaluations'!$J$38</x:f>
        <x:v>0.8284</x:v>
      </x:c>
      <x:c r="E11" s="152" t="n">
        <x:f>MAX(D$5:D11)</x:f>
        <x:v>0.8284</x:v>
      </x:c>
      <x:c r="F11" s="152" t="n">
        <x:f>'Raw Evaluations'!$J$68</x:f>
        <x:v>0.768</x:v>
      </x:c>
      <x:c r="G11" s="152" t="n">
        <x:f>MAX(F$5:F11)</x:f>
        <x:v>0.8092</x:v>
      </x:c>
      <x:c r="H11" s="152" t="n">
        <x:f>'Raw Evaluations'!$J$98</x:f>
        <x:v>0.78</x:v>
      </x:c>
      <x:c r="I11" s="152" t="n">
        <x:f>MAX(H$5:H11)</x:f>
        <x:v>0.8044</x:v>
      </x:c>
    </x:row>
    <x:row r="12">
      <x:c r="A12" s="151" t="n">
        <x:v>8</x:v>
      </x:c>
      <x:c r="B12" s="152" t="n">
        <x:f>'Raw Evaluations'!$J$9</x:f>
        <x:v>0.6672</x:v>
      </x:c>
      <x:c r="C12" s="152" t="n">
        <x:f>MAX(B$5:B12)</x:f>
        <x:v>0.8284</x:v>
      </x:c>
      <x:c r="D12" s="152" t="n">
        <x:f>'Raw Evaluations'!$J$39</x:f>
        <x:v>0.711</x:v>
      </x:c>
      <x:c r="E12" s="152" t="n">
        <x:f>MAX(D$5:D12)</x:f>
        <x:v>0.8284</x:v>
      </x:c>
      <x:c r="F12" s="152" t="n">
        <x:f>'Raw Evaluations'!$J$69</x:f>
        <x:v>0.7778</x:v>
      </x:c>
      <x:c r="G12" s="152" t="n">
        <x:f>MAX(F$5:F12)</x:f>
        <x:v>0.8092</x:v>
      </x:c>
      <x:c r="H12" s="152" t="n">
        <x:f>'Raw Evaluations'!$J$99</x:f>
        <x:v>0.7798</x:v>
      </x:c>
      <x:c r="I12" s="152" t="n">
        <x:f>MAX(H$5:H12)</x:f>
        <x:v>0.8044</x:v>
      </x:c>
    </x:row>
    <x:row r="13">
      <x:c r="A13" s="151" t="n">
        <x:v>9</x:v>
      </x:c>
      <x:c r="B13" s="152" t="n">
        <x:f>'Raw Evaluations'!$J$10</x:f>
        <x:v>0.7226</x:v>
      </x:c>
      <x:c r="C13" s="152" t="n">
        <x:f>MAX(B$5:B13)</x:f>
        <x:v>0.8284</x:v>
      </x:c>
      <x:c r="D13" s="152" t="n">
        <x:f>'Raw Evaluations'!$J$40</x:f>
        <x:v>0.7226</x:v>
      </x:c>
      <x:c r="E13" s="152" t="n">
        <x:f>MAX(D$5:D13)</x:f>
        <x:v>0.8284</x:v>
      </x:c>
      <x:c r="F13" s="152" t="n">
        <x:f>'Raw Evaluations'!$J$70</x:f>
        <x:v>0.7482</x:v>
      </x:c>
      <x:c r="G13" s="152" t="n">
        <x:f>MAX(F$5:F13)</x:f>
        <x:v>0.8092</x:v>
      </x:c>
      <x:c r="H13" s="152" t="n">
        <x:f>'Raw Evaluations'!$J$100</x:f>
        <x:v>0.732</x:v>
      </x:c>
      <x:c r="I13" s="152" t="n">
        <x:f>MAX(H$5:H13)</x:f>
        <x:v>0.8044</x:v>
      </x:c>
    </x:row>
    <x:row r="14">
      <x:c r="A14" s="151" t="n">
        <x:v>10</x:v>
      </x:c>
      <x:c r="B14" s="152" t="n">
        <x:f>'Raw Evaluations'!$J$11</x:f>
        <x:v>0.809</x:v>
      </x:c>
      <x:c r="C14" s="152" t="n">
        <x:f>MAX(B$5:B14)</x:f>
        <x:v>0.8284</x:v>
      </x:c>
      <x:c r="D14" s="152" t="n">
        <x:f>'Raw Evaluations'!$J$41</x:f>
        <x:v>0.809</x:v>
      </x:c>
      <x:c r="E14" s="152" t="n">
        <x:f>MAX(D$5:D14)</x:f>
        <x:v>0.8284</x:v>
      </x:c>
      <x:c r="F14" s="152" t="n">
        <x:f>'Raw Evaluations'!$J$71</x:f>
        <x:v>0.785</x:v>
      </x:c>
      <x:c r="G14" s="152" t="n">
        <x:f>MAX(F$5:F14)</x:f>
        <x:v>0.8092</x:v>
      </x:c>
      <x:c r="H14" s="152" t="n">
        <x:f>'Raw Evaluations'!$J$101</x:f>
        <x:v>0.785</x:v>
      </x:c>
      <x:c r="I14" s="152" t="n">
        <x:f>MAX(H$5:H14)</x:f>
        <x:v>0.8044</x:v>
      </x:c>
    </x:row>
    <x:row r="15">
      <x:c r="A15" s="151" t="n">
        <x:v>11</x:v>
      </x:c>
      <x:c r="B15" s="152" t="n">
        <x:f>'Raw Evaluations'!$J$12</x:f>
        <x:v>0.7654</x:v>
      </x:c>
      <x:c r="C15" s="152" t="n">
        <x:f>MAX(B$5:B15)</x:f>
        <x:v>0.8284</x:v>
      </x:c>
      <x:c r="D15" s="152" t="n">
        <x:f>'Raw Evaluations'!$J$42</x:f>
        <x:v>0.7788</x:v>
      </x:c>
      <x:c r="E15" s="152" t="n">
        <x:f>MAX(D$5:D15)</x:f>
        <x:v>0.8284</x:v>
      </x:c>
      <x:c r="F15" s="152" t="n">
        <x:f>'Raw Evaluations'!$J$72</x:f>
        <x:v>0.7664</x:v>
      </x:c>
      <x:c r="G15" s="152" t="n">
        <x:f>MAX(F$5:F15)</x:f>
        <x:v>0.8092</x:v>
      </x:c>
      <x:c r="H15" s="152" t="n">
        <x:f>'Raw Evaluations'!$J$102</x:f>
        <x:v>0.7622</x:v>
      </x:c>
      <x:c r="I15" s="152" t="n">
        <x:f>MAX(H$5:H15)</x:f>
        <x:v>0.8044</x:v>
      </x:c>
    </x:row>
    <x:row r="16">
      <x:c r="A16" s="151" t="n">
        <x:v>12</x:v>
      </x:c>
      <x:c r="B16" s="152" t="n">
        <x:f>'Raw Evaluations'!$J$13</x:f>
        <x:v>0.7112</x:v>
      </x:c>
      <x:c r="C16" s="152" t="n">
        <x:f>MAX(B$5:B16)</x:f>
        <x:v>0.8284</x:v>
      </x:c>
      <x:c r="D16" s="152" t="n">
        <x:f>'Raw Evaluations'!$J$43</x:f>
        <x:v>0.7224</x:v>
      </x:c>
      <x:c r="E16" s="152" t="n">
        <x:f>MAX(D$5:D16)</x:f>
        <x:v>0.8284</x:v>
      </x:c>
      <x:c r="F16" s="152" t="n">
        <x:f>'Raw Evaluations'!$J$73</x:f>
        <x:v>0.735</x:v>
      </x:c>
      <x:c r="G16" s="152" t="n">
        <x:f>MAX(F$5:F16)</x:f>
        <x:v>0.8092</x:v>
      </x:c>
      <x:c r="H16" s="152" t="n">
        <x:f>'Raw Evaluations'!$J$103</x:f>
        <x:v>0.7576</x:v>
      </x:c>
      <x:c r="I16" s="152" t="n">
        <x:f>MAX(H$5:H16)</x:f>
        <x:v>0.8044</x:v>
      </x:c>
    </x:row>
    <x:row r="17">
      <x:c r="A17" s="151" t="n">
        <x:v>13</x:v>
      </x:c>
      <x:c r="B17" s="152" t="n">
        <x:f>'Raw Evaluations'!$J$14</x:f>
        <x:v>0.7554</x:v>
      </x:c>
      <x:c r="C17" s="152" t="n">
        <x:f>MAX(B$5:B17)</x:f>
        <x:v>0.8284</x:v>
      </x:c>
      <x:c r="D17" s="152" t="n">
        <x:f>'Raw Evaluations'!$J$44</x:f>
        <x:v>0.7442</x:v>
      </x:c>
      <x:c r="E17" s="152" t="n">
        <x:f>MAX(D$5:D17)</x:f>
        <x:v>0.8284</x:v>
      </x:c>
      <x:c r="F17" s="152" t="n">
        <x:f>'Raw Evaluations'!$J$74</x:f>
        <x:v>0.8124</x:v>
      </x:c>
      <x:c r="G17" s="152" t="n">
        <x:f>MAX(F$5:F17)</x:f>
        <x:v>0.8124</x:v>
      </x:c>
      <x:c r="H17" s="152" t="n">
        <x:f>'Raw Evaluations'!$J$104</x:f>
        <x:v>0.8186</x:v>
      </x:c>
      <x:c r="I17" s="152" t="n">
        <x:f>MAX(H$5:H17)</x:f>
        <x:v>0.8186</x:v>
      </x:c>
    </x:row>
    <x:row r="18">
      <x:c r="A18" s="151" t="n">
        <x:v>14</x:v>
      </x:c>
      <x:c r="B18" s="152" t="n">
        <x:f>'Raw Evaluations'!$J$15</x:f>
        <x:v>0.819</x:v>
      </x:c>
      <x:c r="C18" s="152" t="n">
        <x:f>MAX(B$5:B18)</x:f>
        <x:v>0.8284</x:v>
      </x:c>
      <x:c r="D18" s="152" t="n">
        <x:f>'Raw Evaluations'!$J$45</x:f>
        <x:v>0.8184</x:v>
      </x:c>
      <x:c r="E18" s="152" t="n">
        <x:f>MAX(D$5:D18)</x:f>
        <x:v>0.8284</x:v>
      </x:c>
      <x:c r="F18" s="152" t="n">
        <x:f>'Raw Evaluations'!$J$75</x:f>
        <x:v>0.7606</x:v>
      </x:c>
      <x:c r="G18" s="152" t="n">
        <x:f>MAX(F$5:F18)</x:f>
        <x:v>0.8124</x:v>
      </x:c>
      <x:c r="H18" s="152" t="n">
        <x:f>'Raw Evaluations'!$J$105</x:f>
        <x:v>0.754</x:v>
      </x:c>
      <x:c r="I18" s="152" t="n">
        <x:f>MAX(H$5:H18)</x:f>
        <x:v>0.8186</x:v>
      </x:c>
    </x:row>
    <x:row r="19">
      <x:c r="A19" s="151" t="n">
        <x:v>15</x:v>
      </x:c>
      <x:c r="B19" s="152" t="n">
        <x:f>'Raw Evaluations'!$J$16</x:f>
        <x:v>0.6932</x:v>
      </x:c>
      <x:c r="C19" s="152" t="n">
        <x:f>MAX(B$5:B19)</x:f>
        <x:v>0.8284</x:v>
      </x:c>
      <x:c r="D19" s="152" t="n">
        <x:f>'Raw Evaluations'!$J$46</x:f>
        <x:v>0.6932</x:v>
      </x:c>
      <x:c r="E19" s="152" t="n">
        <x:f>MAX(D$5:D19)</x:f>
        <x:v>0.8284</x:v>
      </x:c>
      <x:c r="F19" s="152" t="n">
        <x:f>'Raw Evaluations'!$J$76</x:f>
        <x:v>0.7866</x:v>
      </x:c>
      <x:c r="G19" s="152" t="n">
        <x:f>MAX(F$5:F19)</x:f>
        <x:v>0.8124</x:v>
      </x:c>
      <x:c r="H19" s="152" t="n">
        <x:f>'Raw Evaluations'!$J$106</x:f>
        <x:v>0.7788</x:v>
      </x:c>
      <x:c r="I19" s="152" t="n">
        <x:f>MAX(H$5:H19)</x:f>
        <x:v>0.8186</x:v>
      </x:c>
    </x:row>
    <x:row r="20">
      <x:c r="A20" s="151" t="n">
        <x:v>16</x:v>
      </x:c>
      <x:c r="B20" s="152" t="n">
        <x:f>'Raw Evaluations'!$J$17</x:f>
        <x:v>0.7486</x:v>
      </x:c>
      <x:c r="C20" s="152" t="n">
        <x:f>MAX(B$5:B20)</x:f>
        <x:v>0.8284</x:v>
      </x:c>
      <x:c r="D20" s="152" t="n">
        <x:f>'Raw Evaluations'!$J$47</x:f>
        <x:v>0.7486</x:v>
      </x:c>
      <x:c r="E20" s="152" t="n">
        <x:f>MAX(D$5:D20)</x:f>
        <x:v>0.8284</x:v>
      </x:c>
      <x:c r="F20" s="152" t="n">
        <x:f>'Raw Evaluations'!$J$77</x:f>
        <x:v>0.7564</x:v>
      </x:c>
      <x:c r="G20" s="152" t="n">
        <x:f>MAX(F$5:F20)</x:f>
        <x:v>0.8124</x:v>
      </x:c>
      <x:c r="H20" s="152" t="n">
        <x:f>'Raw Evaluations'!$J$107</x:f>
        <x:v>0.7564</x:v>
      </x:c>
      <x:c r="I20" s="152" t="n">
        <x:f>MAX(H$5:H20)</x:f>
        <x:v>0.8186</x:v>
      </x:c>
    </x:row>
    <x:row r="21">
      <x:c r="A21" s="151" t="n">
        <x:v>17</x:v>
      </x:c>
      <x:c r="B21" s="152" t="n">
        <x:f>'Raw Evaluations'!$J$18</x:f>
        <x:v>0.822</x:v>
      </x:c>
      <x:c r="C21" s="152" t="n">
        <x:f>MAX(B$5:B21)</x:f>
        <x:v>0.8284</x:v>
      </x:c>
      <x:c r="D21" s="152" t="n">
        <x:f>'Raw Evaluations'!$J$48</x:f>
        <x:v>0.822</x:v>
      </x:c>
      <x:c r="E21" s="152" t="n">
        <x:f>MAX(D$5:D21)</x:f>
        <x:v>0.8284</x:v>
      </x:c>
      <x:c r="F21" s="152" t="n">
        <x:f>'Raw Evaluations'!$J$78</x:f>
        <x:v>0.7862</x:v>
      </x:c>
      <x:c r="G21" s="152" t="n">
        <x:f>MAX(F$5:F21)</x:f>
        <x:v>0.8124</x:v>
      </x:c>
      <x:c r="H21" s="152" t="n">
        <x:f>'Raw Evaluations'!$J$108</x:f>
        <x:v>0.7718</x:v>
      </x:c>
      <x:c r="I21" s="152" t="n">
        <x:f>MAX(H$5:H21)</x:f>
        <x:v>0.8186</x:v>
      </x:c>
    </x:row>
    <x:row r="22">
      <x:c r="A22" s="151" t="n">
        <x:v>18</x:v>
      </x:c>
      <x:c r="B22" s="152" t="n">
        <x:f>'Raw Evaluations'!$J$19</x:f>
        <x:v>0.764</x:v>
      </x:c>
      <x:c r="C22" s="152" t="n">
        <x:f>MAX(B$5:B22)</x:f>
        <x:v>0.8284</x:v>
      </x:c>
      <x:c r="D22" s="152" t="n">
        <x:f>'Raw Evaluations'!$J$49</x:f>
        <x:v>0.757</x:v>
      </x:c>
      <x:c r="E22" s="152" t="n">
        <x:f>MAX(D$5:D22)</x:f>
        <x:v>0.8284</x:v>
      </x:c>
      <x:c r="F22" s="152" t="n">
        <x:f>'Raw Evaluations'!$J$79</x:f>
        <x:v>0.801</x:v>
      </x:c>
      <x:c r="G22" s="152" t="n">
        <x:f>MAX(F$5:F22)</x:f>
        <x:v>0.8124</x:v>
      </x:c>
      <x:c r="H22" s="152" t="n">
        <x:f>'Raw Evaluations'!$J$109</x:f>
        <x:v>0.801</x:v>
      </x:c>
      <x:c r="I22" s="152" t="n">
        <x:f>MAX(H$5:H22)</x:f>
        <x:v>0.8186</x:v>
      </x:c>
    </x:row>
    <x:row r="23">
      <x:c r="A23" s="151" t="n">
        <x:v>19</x:v>
      </x:c>
      <x:c r="B23" s="152" t="n">
        <x:f>'Raw Evaluations'!$J$20</x:f>
        <x:v>0.7586</x:v>
      </x:c>
      <x:c r="C23" s="152" t="n">
        <x:f>MAX(B$5:B23)</x:f>
        <x:v>0.8284</x:v>
      </x:c>
      <x:c r="D23" s="152" t="n">
        <x:f>'Raw Evaluations'!$J$50</x:f>
        <x:v>0.7586</x:v>
      </x:c>
      <x:c r="E23" s="152" t="n">
        <x:f>MAX(D$5:D23)</x:f>
        <x:v>0.8284</x:v>
      </x:c>
      <x:c r="F23" s="152" t="n">
        <x:f>'Raw Evaluations'!$J$80</x:f>
        <x:v>0.7048</x:v>
      </x:c>
      <x:c r="G23" s="152" t="n">
        <x:f>MAX(F$5:F23)</x:f>
        <x:v>0.8124</x:v>
      </x:c>
      <x:c r="H23" s="152" t="n">
        <x:f>'Raw Evaluations'!$J$110</x:f>
        <x:v>0.7048</x:v>
      </x:c>
      <x:c r="I23" s="152" t="n">
        <x:f>MAX(H$5:H23)</x:f>
        <x:v>0.8186</x:v>
      </x:c>
    </x:row>
    <x:row r="24">
      <x:c r="A24" s="151" t="n">
        <x:v>20</x:v>
      </x:c>
      <x:c r="B24" s="152" t="n">
        <x:f>'Raw Evaluations'!$J$21</x:f>
        <x:v>0.812</x:v>
      </x:c>
      <x:c r="C24" s="152" t="n">
        <x:f>MAX(B$5:B24)</x:f>
        <x:v>0.8284</x:v>
      </x:c>
      <x:c r="D24" s="152" t="n">
        <x:f>'Raw Evaluations'!$J$51</x:f>
        <x:v>0.812</x:v>
      </x:c>
      <x:c r="E24" s="152" t="n">
        <x:f>MAX(D$5:D24)</x:f>
        <x:v>0.8284</x:v>
      </x:c>
      <x:c r="F24" s="152" t="n">
        <x:f>'Raw Evaluations'!$J$81</x:f>
        <x:v>0.6658</x:v>
      </x:c>
      <x:c r="G24" s="152" t="n">
        <x:f>MAX(F$5:F24)</x:f>
        <x:v>0.8124</x:v>
      </x:c>
      <x:c r="H24" s="152" t="n">
        <x:f>'Raw Evaluations'!$J$111</x:f>
        <x:v>0.6722</x:v>
      </x:c>
      <x:c r="I24" s="152" t="n">
        <x:f>MAX(H$5:H24)</x:f>
        <x:v>0.8186</x:v>
      </x:c>
    </x:row>
    <x:row r="25">
      <x:c r="A25" s="151" t="n">
        <x:v>21</x:v>
      </x:c>
      <x:c r="B25" s="152" t="n">
        <x:f>'Raw Evaluations'!$J$22</x:f>
        <x:v>0.769</x:v>
      </x:c>
      <x:c r="C25" s="152" t="n">
        <x:f>MAX(B$5:B25)</x:f>
        <x:v>0.8284</x:v>
      </x:c>
      <x:c r="D25" s="152" t="n">
        <x:f>'Raw Evaluations'!$J$52</x:f>
        <x:v>0.7598</x:v>
      </x:c>
      <x:c r="E25" s="152" t="n">
        <x:f>MAX(D$5:D25)</x:f>
        <x:v>0.8284</x:v>
      </x:c>
      <x:c r="F25" s="152" t="n">
        <x:f>'Raw Evaluations'!$J$82</x:f>
        <x:v>0.8156</x:v>
      </x:c>
      <x:c r="G25" s="152" t="n">
        <x:f>MAX(F$5:F25)</x:f>
        <x:v>0.8156</x:v>
      </x:c>
      <x:c r="H25" s="152" t="n">
        <x:f>'Raw Evaluations'!$J$112</x:f>
        <x:v>0.8172</x:v>
      </x:c>
      <x:c r="I25" s="152" t="n">
        <x:f>MAX(H$5:H25)</x:f>
        <x:v>0.8186</x:v>
      </x:c>
    </x:row>
    <x:row r="26">
      <x:c r="A26" s="151" t="n">
        <x:v>22</x:v>
      </x:c>
      <x:c r="B26" s="152" t="n">
        <x:f>'Raw Evaluations'!$J$23</x:f>
        <x:v>0.83</x:v>
      </x:c>
      <x:c r="C26" s="152" t="n">
        <x:f>MAX(B$5:B26)</x:f>
        <x:v>0.83</x:v>
      </x:c>
      <x:c r="D26" s="152" t="n">
        <x:f>'Raw Evaluations'!$J$53</x:f>
        <x:v>0.7836</x:v>
      </x:c>
      <x:c r="E26" s="152" t="n">
        <x:f>MAX(D$5:D26)</x:f>
        <x:v>0.8284</x:v>
      </x:c>
      <x:c r="F26" s="152" t="n">
        <x:f>'Raw Evaluations'!$J$83</x:f>
        <x:v>0.7902</x:v>
      </x:c>
      <x:c r="G26" s="152" t="n">
        <x:f>MAX(F$5:F26)</x:f>
        <x:v>0.8156</x:v>
      </x:c>
      <x:c r="H26" s="152" t="n">
        <x:f>'Raw Evaluations'!$J$113</x:f>
        <x:v>0.8192</x:v>
      </x:c>
      <x:c r="I26" s="152" t="n">
        <x:f>MAX(H$5:H26)</x:f>
        <x:v>0.8192</x:v>
      </x:c>
    </x:row>
    <x:row r="27">
      <x:c r="A27" s="151" t="n">
        <x:v>23</x:v>
      </x:c>
      <x:c r="B27" s="152" t="n">
        <x:f>'Raw Evaluations'!$J$24</x:f>
        <x:v>0.8198</x:v>
      </x:c>
      <x:c r="C27" s="152" t="n">
        <x:f>MAX(B$5:B27)</x:f>
        <x:v>0.83</x:v>
      </x:c>
      <x:c r="D27" s="152" t="n">
        <x:f>'Raw Evaluations'!$J$54</x:f>
        <x:v>0.8234</x:v>
      </x:c>
      <x:c r="E27" s="152" t="n">
        <x:f>MAX(D$5:D27)</x:f>
        <x:v>0.8284</x:v>
      </x:c>
      <x:c r="F27" s="152" t="n">
        <x:f>'Raw Evaluations'!$J$84</x:f>
        <x:v>0.7886</x:v>
      </x:c>
      <x:c r="G27" s="152" t="n">
        <x:f>MAX(F$5:F27)</x:f>
        <x:v>0.8156</x:v>
      </x:c>
      <x:c r="H27" s="152" t="n">
        <x:f>'Raw Evaluations'!$J$114</x:f>
        <x:v>0.8232</x:v>
      </x:c>
      <x:c r="I27" s="152" t="n">
        <x:f>MAX(H$5:H27)</x:f>
        <x:v>0.8232</x:v>
      </x:c>
    </x:row>
    <x:row r="28">
      <x:c r="A28" s="151" t="n">
        <x:v>24</x:v>
      </x:c>
      <x:c r="B28" s="152" t="n">
        <x:f>'Raw Evaluations'!$J$25</x:f>
        <x:v>0.83</x:v>
      </x:c>
      <x:c r="C28" s="152" t="n">
        <x:f>MAX(B$5:B28)</x:f>
        <x:v>0.83</x:v>
      </x:c>
      <x:c r="D28" s="152" t="n">
        <x:f>'Raw Evaluations'!$J$55</x:f>
        <x:v>0.814</x:v>
      </x:c>
      <x:c r="E28" s="152" t="n">
        <x:f>MAX(D$5:D28)</x:f>
        <x:v>0.8284</x:v>
      </x:c>
      <x:c r="F28" s="152" t="n">
        <x:f>'Raw Evaluations'!$J$85</x:f>
        <x:v>0.7976</x:v>
      </x:c>
      <x:c r="G28" s="152" t="n">
        <x:f>MAX(F$5:F28)</x:f>
        <x:v>0.8156</x:v>
      </x:c>
      <x:c r="H28" s="152" t="n">
        <x:f>'Raw Evaluations'!$J$115</x:f>
        <x:v>0.8062</x:v>
      </x:c>
      <x:c r="I28" s="152" t="n">
        <x:f>MAX(H$5:H28)</x:f>
        <x:v>0.8232</x:v>
      </x:c>
    </x:row>
    <x:row r="29">
      <x:c r="A29" s="151" t="n">
        <x:v>25</x:v>
      </x:c>
      <x:c r="B29" s="152" t="n">
        <x:f>'Raw Evaluations'!$J$26</x:f>
        <x:v>0.787</x:v>
      </x:c>
      <x:c r="C29" s="152" t="n">
        <x:f>MAX(B$5:B29)</x:f>
        <x:v>0.83</x:v>
      </x:c>
      <x:c r="D29" s="152" t="n">
        <x:f>'Raw Evaluations'!$J$56</x:f>
        <x:v>0.7958</x:v>
      </x:c>
      <x:c r="E29" s="152" t="n">
        <x:f>MAX(D$5:D29)</x:f>
        <x:v>0.8284</x:v>
      </x:c>
      <x:c r="F29" s="152" t="n">
        <x:f>'Raw Evaluations'!$J$86</x:f>
        <x:v>0.8034</x:v>
      </x:c>
      <x:c r="G29" s="152" t="n">
        <x:f>MAX(F$5:F29)</x:f>
        <x:v>0.8156</x:v>
      </x:c>
      <x:c r="H29" s="152" t="n">
        <x:f>'Raw Evaluations'!$J$116</x:f>
        <x:v>0.8212</x:v>
      </x:c>
      <x:c r="I29" s="152" t="n">
        <x:f>MAX(H$5:H29)</x:f>
        <x:v>0.8232</x:v>
      </x:c>
    </x:row>
    <x:row r="30">
      <x:c r="A30" s="151" t="n">
        <x:v>26</x:v>
      </x:c>
      <x:c r="B30" s="152" t="n">
        <x:f>'Raw Evaluations'!$J$27</x:f>
        <x:v>0.8174</x:v>
      </x:c>
      <x:c r="C30" s="152" t="n">
        <x:f>MAX(B$5:B30)</x:f>
        <x:v>0.83</x:v>
      </x:c>
      <x:c r="D30" s="152" t="n">
        <x:f>'Raw Evaluations'!$J$57</x:f>
        <x:v>0.8202</x:v>
      </x:c>
      <x:c r="E30" s="152" t="n">
        <x:f>MAX(D$5:D30)</x:f>
        <x:v>0.8284</x:v>
      </x:c>
      <x:c r="F30" s="152" t="n">
        <x:f>'Raw Evaluations'!$J$87</x:f>
        <x:v>0.7866</x:v>
      </x:c>
      <x:c r="G30" s="152" t="n">
        <x:f>MAX(F$5:F30)</x:f>
        <x:v>0.8156</x:v>
      </x:c>
      <x:c r="H30" s="152" t="n">
        <x:f>'Raw Evaluations'!$J$117</x:f>
        <x:v>0.8092</x:v>
      </x:c>
      <x:c r="I30" s="152" t="n">
        <x:f>MAX(H$5:H30)</x:f>
        <x:v>0.8232</x:v>
      </x:c>
    </x:row>
    <x:row r="31">
      <x:c r="A31" s="151" t="n">
        <x:v>27</x:v>
      </x:c>
      <x:c r="B31" s="152" t="n">
        <x:f>'Raw Evaluations'!$J$28</x:f>
        <x:v>0.759</x:v>
      </x:c>
      <x:c r="C31" s="152" t="n">
        <x:f>MAX(B$5:B31)</x:f>
        <x:v>0.83</x:v>
      </x:c>
      <x:c r="D31" s="152" t="n">
        <x:f>'Raw Evaluations'!$J$58</x:f>
        <x:v>0.8192</x:v>
      </x:c>
      <x:c r="E31" s="152" t="n">
        <x:f>MAX(D$5:D31)</x:f>
        <x:v>0.8284</x:v>
      </x:c>
      <x:c r="F31" s="152" t="n">
        <x:f>'Raw Evaluations'!$J$88</x:f>
        <x:v>0.791</x:v>
      </x:c>
      <x:c r="G31" s="152" t="n">
        <x:f>MAX(F$5:F31)</x:f>
        <x:v>0.8156</x:v>
      </x:c>
      <x:c r="H31" s="152" t="n">
        <x:f>'Raw Evaluations'!$J$118</x:f>
        <x:v>0.813</x:v>
      </x:c>
      <x:c r="I31" s="152" t="n">
        <x:f>MAX(H$5:H31)</x:f>
        <x:v>0.8232</x:v>
      </x:c>
    </x:row>
    <x:row r="32">
      <x:c r="A32" s="151" t="n">
        <x:v>28</x:v>
      </x:c>
      <x:c r="B32" s="152" t="n">
        <x:f>'Raw Evaluations'!$J$29</x:f>
        <x:v>0.8114</x:v>
      </x:c>
      <x:c r="C32" s="152" t="n">
        <x:f>MAX(B$5:B32)</x:f>
        <x:v>0.83</x:v>
      </x:c>
      <x:c r="D32" s="152" t="n">
        <x:f>'Raw Evaluations'!$J$59</x:f>
        <x:v>0.822</x:v>
      </x:c>
      <x:c r="E32" s="152" t="n">
        <x:f>MAX(D$5:D32)</x:f>
        <x:v>0.8284</x:v>
      </x:c>
      <x:c r="F32" s="152" t="n">
        <x:f>'Raw Evaluations'!$J$89</x:f>
        <x:v>0.8</x:v>
      </x:c>
      <x:c r="G32" s="152" t="n">
        <x:f>MAX(F$5:F32)</x:f>
        <x:v>0.8156</x:v>
      </x:c>
      <x:c r="H32" s="152" t="n">
        <x:f>'Raw Evaluations'!$J$119</x:f>
        <x:v>0.803</x:v>
      </x:c>
      <x:c r="I32" s="152" t="n">
        <x:f>MAX(H$5:H32)</x:f>
        <x:v>0.8232</x:v>
      </x:c>
    </x:row>
    <x:row r="33">
      <x:c r="A33" s="151" t="n">
        <x:v>29</x:v>
      </x:c>
      <x:c r="B33" s="152" t="n">
        <x:f>'Raw Evaluations'!$J$30</x:f>
        <x:v>0.8036</x:v>
      </x:c>
      <x:c r="C33" s="152" t="n">
        <x:f>MAX(B$5:B33)</x:f>
        <x:v>0.83</x:v>
      </x:c>
      <x:c r="D33" s="152" t="n">
        <x:f>'Raw Evaluations'!$J$60</x:f>
        <x:v>0.8202</x:v>
      </x:c>
      <x:c r="E33" s="152" t="n">
        <x:f>MAX(D$5:D33)</x:f>
        <x:v>0.8284</x:v>
      </x:c>
      <x:c r="F33" s="152" t="n">
        <x:f>'Raw Evaluations'!$J$90</x:f>
        <x:v>0.7478</x:v>
      </x:c>
      <x:c r="G33" s="152" t="n">
        <x:f>MAX(F$5:F33)</x:f>
        <x:v>0.8156</x:v>
      </x:c>
      <x:c r="H33" s="152" t="n">
        <x:f>'Raw Evaluations'!$J$120</x:f>
        <x:v>0.8138</x:v>
      </x:c>
      <x:c r="I33" s="152" t="n">
        <x:f>MAX(H$5:H33)</x:f>
        <x:v>0.8232</x:v>
      </x:c>
    </x:row>
    <x:row r="34">
      <x:c r="A34" s="151" t="n">
        <x:v>30</x:v>
      </x:c>
      <x:c r="B34" s="152" t="n">
        <x:f>'Raw Evaluations'!$J$31</x:f>
        <x:v>0.8102</x:v>
      </x:c>
      <x:c r="C34" s="152" t="n">
        <x:f>MAX(B$5:B34)</x:f>
        <x:v>0.83</x:v>
      </x:c>
      <x:c r="D34" s="152" t="n">
        <x:f>'Raw Evaluations'!$J$61</x:f>
        <x:v>0.8196</x:v>
      </x:c>
      <x:c r="E34" s="152" t="n">
        <x:f>MAX(D$5:D34)</x:f>
        <x:v>0.8284</x:v>
      </x:c>
      <x:c r="F34" s="152" t="n">
        <x:f>'Raw Evaluations'!$J$91</x:f>
        <x:v>0.813</x:v>
      </x:c>
      <x:c r="G34" s="152" t="n">
        <x:f>MAX(F$5:F34)</x:f>
        <x:v>0.8156</x:v>
      </x:c>
      <x:c r="H34" s="152" t="n">
        <x:f>'Raw Evaluations'!$J$121</x:f>
        <x:v>0.817</x:v>
      </x:c>
      <x:c r="I34" s="152" t="n">
        <x:f>MAX(H$5:H34)</x:f>
        <x:v>0.8232</x:v>
      </x:c>
    </x:row>
  </x:sheetData>
  <x:mergeCells>
    <x:mergeCell ref="A1:I2"/>
  </x:mergeCells>
  <x:pageMargins left="0.7" right="0.7" top="0.75" bottom="0.75" header="0.3" footer="0.3"/>
  <x:drawing xmlns:r="http://schemas.openxmlformats.org/officeDocument/2006/relationships" r:id="Rbd5a66772c624f60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>
      <x:c r="A1" s="115" t="str">
        <x:v>SA-RE surrogate diagnostics (selected candidates only)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  <x:c r="M1" s="146"/>
      <x:c r="N1" s="146"/>
    </x:row>
    <x:row r="2">
      <x:c r="A2" s="146"/>
      <x:c r="B2" s="146"/>
      <x:c r="C2" s="146"/>
      <x:c r="D2" s="146"/>
      <x:c r="E2" s="146"/>
      <x:c r="F2" s="146"/>
      <x:c r="G2" s="146"/>
      <x:c r="H2" s="146"/>
      <x:c r="I2" s="146"/>
      <x:c r="J2" s="146"/>
      <x:c r="K2" s="146"/>
      <x:c r="L2" s="146"/>
      <x:c r="M2" s="146"/>
      <x:c r="N2" s="146"/>
    </x:row>
    <x:row r="3">
      <x:c r="A3" s="170" t="str">
        <x:v>Caution: only the max-predicted candidate is trained each round; prediction error and correlation are selection-biased diagnostics, not unbiased test performance.</x:v>
      </x:c>
      <x:c r="B3" s="146"/>
      <x:c r="C3" s="146"/>
      <x:c r="D3" s="146"/>
      <x:c r="E3" s="146"/>
      <x:c r="F3" s="146"/>
      <x:c r="G3" s="146"/>
      <x:c r="H3" s="146"/>
      <x:c r="I3" s="146"/>
      <x:c r="J3" s="146"/>
      <x:c r="K3" s="146"/>
      <x:c r="L3" s="146"/>
      <x:c r="M3" s="146"/>
      <x:c r="N3" s="146"/>
    </x:row>
    <x:row r="4">
      <x:c r="A4" s="146"/>
      <x:c r="B4" s="146"/>
      <x:c r="C4" s="146"/>
      <x:c r="D4" s="146"/>
      <x:c r="E4" s="146"/>
      <x:c r="F4" s="146"/>
      <x:c r="G4" s="146"/>
      <x:c r="H4" s="146"/>
      <x:c r="I4" s="146"/>
      <x:c r="J4" s="146"/>
      <x:c r="K4" s="146"/>
      <x:c r="L4" s="146"/>
      <x:c r="M4" s="146"/>
      <x:c r="N4" s="146"/>
    </x:row>
    <x:row r="5">
      <x:c r="A5" s="133" t="str">
        <x:v>Seed</x:v>
      </x:c>
      <x:c r="B5" s="134" t="str">
        <x:v>Selected n</x:v>
      </x:c>
      <x:c r="C5" s="134" t="str">
        <x:v>MAE</x:v>
      </x:c>
      <x:c r="D5" s="134" t="str">
        <x:v>RMSE</x:v>
      </x:c>
      <x:c r="E5" s="134" t="str">
        <x:v>Bias (pred-actual)</x:v>
      </x:c>
      <x:c r="F5" s="134" t="str">
        <x:v>Pearson</x:v>
      </x:c>
      <x:c r="G5" s="134" t="str">
        <x:v>Spearman</x:v>
      </x:c>
      <x:c r="H5" s="135" t="str">
        <x:v>Mean predicted uplift</x:v>
      </x:c>
      <x:c r="I5" s="146"/>
      <x:c r="J5" s="146"/>
      <x:c r="K5" s="146"/>
      <x:c r="L5" s="146"/>
      <x:c r="M5" s="146"/>
      <x:c r="N5" s="146"/>
    </x:row>
    <x:row r="6">
      <x:c r="A6" s="149" t="n">
        <x:v>2701</x:v>
      </x:c>
      <x:c r="B6" s="149" t="n">
        <x:f>COUNT(E13:E22)</x:f>
        <x:v>10</x:v>
      </x:c>
      <x:c r="C6" s="150" t="n">
        <x:f>AVERAGE(H13:H22)</x:f>
        <x:v>0.01754828678131103</x:v>
      </x:c>
      <x:c r="D6" s="150" t="n">
        <x:f>SQRT(SUMSQ(G13:G22)/COUNT(G13:G22))</x:f>
        <x:v>0.020748399604825878</x:v>
      </x:c>
      <x:c r="E6" s="150" t="n">
        <x:f>AVERAGE(G13:G22)</x:f>
        <x:v>0.012345699043273928</x:v>
      </x:c>
      <x:c r="F6" s="150" t="n">
        <x:f>CORREL(E13:E22,F13:F22)</x:f>
        <x:v>0.7536958885892054</x:v>
      </x:c>
      <x:c r="G6" s="150" t="n">
        <x:f>0.36474332620803873</x:f>
        <x:v>0.36474332620803873</x:v>
      </x:c>
      <x:c r="H6" s="150" t="n">
        <x:f>AVERAGE(M13:M22)</x:f>
        <x:v>0.01555735707283018</x:v>
      </x:c>
      <x:c r="I6" s="146"/>
      <x:c r="J6" s="146"/>
      <x:c r="K6" s="146"/>
      <x:c r="L6" s="146"/>
      <x:c r="M6" s="146"/>
      <x:c r="N6" s="146"/>
    </x:row>
    <x:row r="7">
      <x:c r="A7" s="151" t="n">
        <x:v>2702</x:v>
      </x:c>
      <x:c r="B7" s="151" t="n">
        <x:f>COUNT(E23:E32)</x:f>
        <x:v>10</x:v>
      </x:c>
      <x:c r="C7" s="152" t="n">
        <x:f>AVERAGE(H23:H32)</x:f>
        <x:v>0.011913547735214237</x:v>
      </x:c>
      <x:c r="D7" s="152" t="n">
        <x:f>SQRT(SUMSQ(G23:G32)/COUNT(G23:G32))</x:f>
        <x:v>0.015925341140287055</x:v>
      </x:c>
      <x:c r="E7" s="152" t="n">
        <x:f>AVERAGE(G23:G32)</x:f>
        <x:v>0.010128480863571154</x:v>
      </x:c>
      <x:c r="F7" s="152" t="n">
        <x:f>CORREL(E23:E32,F23:F32)</x:f>
        <x:v>-0.4930162734199629</x:v>
      </x:c>
      <x:c r="G7" s="152" t="n">
        <x:f>-0.406060606060606</x:f>
        <x:v>-0.406060606060606</x:v>
      </x:c>
      <x:c r="H7" s="152" t="n">
        <x:f>AVERAGE(M23:M32)</x:f>
        <x:v>0.009801180362701434</x:v>
      </x:c>
      <x:c r="I7" s="146"/>
      <x:c r="J7" s="146"/>
      <x:c r="K7" s="146"/>
      <x:c r="L7" s="146"/>
      <x:c r="M7" s="146"/>
      <x:c r="N7" s="146"/>
    </x:row>
    <x:row r="8">
      <x:c r="A8" s="151" t="str">
        <x:v>Combined</x:v>
      </x:c>
      <x:c r="B8" s="151" t="n">
        <x:f>COUNT(E13:E32)</x:f>
        <x:v>20</x:v>
      </x:c>
      <x:c r="C8" s="152" t="n">
        <x:f>AVERAGE(H13:H32)</x:f>
        <x:v>0.014730917258262633</x:v>
      </x:c>
      <x:c r="D8" s="152" t="n">
        <x:f>SQRT(SUMSQ(G13:G32)/COUNT(G13:G32))</x:f>
        <x:v>0.018494763807576156</x:v>
      </x:c>
      <x:c r="E8" s="152" t="n">
        <x:f>AVERAGE(G13:G32)</x:f>
        <x:v>0.011237089953422541</x:v>
      </x:c>
      <x:c r="F8" s="152" t="n">
        <x:f>CORREL(E13:E32,F13:F32)</x:f>
        <x:v>0.6490635697163009</x:v>
      </x:c>
      <x:c r="G8" s="152" t="n">
        <x:f>0.24303994841020643</x:f>
        <x:v>0.24303994841020643</x:v>
      </x:c>
      <x:c r="H8" s="152" t="n">
        <x:f>AVERAGE(M13:M32)</x:f>
        <x:v>0.012679268717765807</x:v>
      </x:c>
      <x:c r="I8" s="146"/>
      <x:c r="J8" s="146"/>
      <x:c r="K8" s="146"/>
      <x:c r="L8" s="146"/>
      <x:c r="M8" s="146"/>
      <x:c r="N8" s="146"/>
    </x:row>
    <x:row r="9">
      <x:c r="A9" s="146"/>
      <x:c r="B9" s="146"/>
      <x:c r="C9" s="146"/>
      <x:c r="D9" s="146"/>
      <x:c r="E9" s="146"/>
      <x:c r="F9" s="146"/>
      <x:c r="G9" s="146"/>
      <x:c r="H9" s="146"/>
      <x:c r="I9" s="146"/>
      <x:c r="J9" s="146"/>
      <x:c r="K9" s="146"/>
      <x:c r="L9" s="146"/>
      <x:c r="M9" s="146"/>
      <x:c r="N9" s="146"/>
    </x:row>
    <x:row r="10">
      <x:c r="A10" s="146"/>
      <x:c r="B10" s="146"/>
      <x:c r="C10" s="146"/>
      <x:c r="D10" s="146"/>
      <x:c r="E10" s="146"/>
      <x:c r="F10" s="146"/>
      <x:c r="G10" s="146"/>
      <x:c r="H10" s="146"/>
      <x:c r="I10" s="146"/>
      <x:c r="J10" s="146"/>
      <x:c r="K10" s="146"/>
      <x:c r="L10" s="146"/>
      <x:c r="M10" s="146"/>
      <x:c r="N10" s="146"/>
    </x:row>
    <x:row r="11">
      <x:c r="A11" s="146"/>
      <x:c r="B11" s="146"/>
      <x:c r="C11" s="146"/>
      <x:c r="D11" s="146"/>
      <x:c r="E11" s="146"/>
      <x:c r="F11" s="146"/>
      <x:c r="G11" s="146"/>
      <x:c r="H11" s="146"/>
      <x:c r="I11" s="146"/>
      <x:c r="J11" s="146"/>
      <x:c r="K11" s="146"/>
      <x:c r="L11" s="146"/>
      <x:c r="M11" s="146"/>
      <x:c r="N11" s="146"/>
    </x:row>
    <x:row r="12">
      <x:c r="A12" s="133" t="str">
        <x:v>Seed</x:v>
      </x:c>
      <x:c r="B12" s="134" t="str">
        <x:v>Eval</x:v>
      </x:c>
      <x:c r="C12" s="134" t="str">
        <x:v>Mutation</x:v>
      </x:c>
      <x:c r="D12" s="134" t="str">
        <x:v>Selected index</x:v>
      </x:c>
      <x:c r="E12" s="134" t="str">
        <x:v>Predicted mu</x:v>
      </x:c>
      <x:c r="F12" s="134" t="str">
        <x:v>Actual accuracy</x:v>
      </x:c>
      <x:c r="G12" s="134" t="str">
        <x:v>Error</x:v>
      </x:c>
      <x:c r="H12" s="134" t="str">
        <x:v>Absolute error</x:v>
      </x:c>
      <x:c r="I12" s="134" t="str">
        <x:v>Training size</x:v>
      </x:c>
      <x:c r="J12" s="134" t="str">
        <x:v>Training MSE</x:v>
      </x:c>
      <x:c r="K12" s="134" t="str">
        <x:v>Batch pred mean</x:v>
      </x:c>
      <x:c r="L12" s="134" t="str">
        <x:v>Batch spread</x:v>
      </x:c>
      <x:c r="M12" s="134" t="str">
        <x:v>Selected uplift</x:v>
      </x:c>
      <x:c r="N12" s="135" t="str">
        <x:v>Winner margin</x:v>
      </x:c>
    </x:row>
    <x:row r="13">
      <x:c r="A13" s="149" t="n">
        <x:v>2701</x:v>
      </x:c>
      <x:c r="B13" s="149" t="n">
        <x:v>21</x:v>
      </x:c>
      <x:c r="C13" s="149" t="str">
        <x:f>'Raw Evaluations'!$I$52</x:f>
        <x:v>operation</x:v>
      </x:c>
      <x:c r="D13" s="149" t="n">
        <x:f>'Raw Evaluations'!$S$52</x:f>
        <x:v>3</x:v>
      </x:c>
      <x:c r="E13" s="171" t="n">
        <x:f>'Raw Evaluations'!$Q$52</x:f>
        <x:v>0.7818431258201599</x:v>
      </x:c>
      <x:c r="F13" s="171" t="n">
        <x:f>'Raw Evaluations'!$K$52</x:f>
        <x:v>0.7598</x:v>
      </x:c>
      <x:c r="G13" s="171" t="n">
        <x:f>E13-F13</x:f>
        <x:v>0.02204312582015988</x:v>
      </x:c>
      <x:c r="H13" s="171" t="n">
        <x:f>ABS(G13)</x:f>
        <x:v>0.02204312582015988</x:v>
      </x:c>
      <x:c r="I13" s="149" t="n">
        <x:f>'Raw Evaluations'!$R$52</x:f>
        <x:v>20</x:v>
      </x:c>
      <x:c r="J13" s="171" t="n">
        <x:f>'Raw Evaluations'!$T$52</x:f>
        <x:v>6.3343508216462405e-9</x:v>
      </x:c>
      <x:c r="K13" s="171" t="n">
        <x:f>AVERAGE('Raw Candidates'!$I$2:$I$6)</x:f>
        <x:v>0.7656529307365417</x:v>
      </x:c>
      <x:c r="L13" s="171" t="n">
        <x:f>MAX('Raw Candidates'!$I$2:$I$6)-MIN('Raw Candidates'!$I$2:$I$6)</x:f>
        <x:v>0.02587270736694336</x:v>
      </x:c>
      <x:c r="M13" s="171" t="n">
        <x:f>E13-K13</x:f>
        <x:v>0.016190195083618186</x:v>
      </x:c>
      <x:c r="N13" s="171" t="n">
        <x:f>MAX('Raw Candidates'!$I$2:$I$6)-LARGE('Raw Candidates'!$I$2:$I$6,2)</x:f>
        <x:v>0.012575030326843262</x:v>
      </x:c>
    </x:row>
    <x:row r="14">
      <x:c r="A14" s="151" t="n">
        <x:v>2701</x:v>
      </x:c>
      <x:c r="B14" s="151" t="n">
        <x:v>22</x:v>
      </x:c>
      <x:c r="C14" s="151" t="str">
        <x:f>'Raw Evaluations'!$I$53</x:f>
        <x:v>hidden_state</x:v>
      </x:c>
      <x:c r="D14" s="151" t="n">
        <x:f>'Raw Evaluations'!$S$53</x:f>
        <x:v>0</x:v>
      </x:c>
      <x:c r="E14" s="172" t="n">
        <x:f>'Raw Evaluations'!$Q$53</x:f>
        <x:v>0.7641772031784058</x:v>
      </x:c>
      <x:c r="F14" s="172" t="n">
        <x:f>'Raw Evaluations'!$K$53</x:f>
        <x:v>0.7836</x:v>
      </x:c>
      <x:c r="G14" s="172" t="n">
        <x:f>E14-F14</x:f>
        <x:v>-0.0194227968215942</x:v>
      </x:c>
      <x:c r="H14" s="172" t="n">
        <x:f>ABS(G14)</x:f>
        <x:v>0.0194227968215942</x:v>
      </x:c>
      <x:c r="I14" s="151" t="n">
        <x:f>'Raw Evaluations'!$R$53</x:f>
        <x:v>21</x:v>
      </x:c>
      <x:c r="J14" s="172" t="n">
        <x:f>'Raw Evaluations'!$T$53</x:f>
        <x:v>0.000003605447318477673</x:v>
      </x:c>
      <x:c r="K14" s="172" t="n">
        <x:f>AVERAGE('Raw Candidates'!$I$7:$I$11)</x:f>
        <x:v>0.7493134021759034</x:v>
      </x:c>
      <x:c r="L14" s="172" t="n">
        <x:f>MAX('Raw Candidates'!$I$7:$I$11)-MIN('Raw Candidates'!$I$7:$I$11)</x:f>
        <x:v>0.03536468744277954</x:v>
      </x:c>
      <x:c r="M14" s="172" t="n">
        <x:f>E14-K14</x:f>
        <x:v>0.014863801002502397</x:v>
      </x:c>
      <x:c r="N14" s="172" t="n">
        <x:f>MAX('Raw Candidates'!$I$7:$I$11)-LARGE('Raw Candidates'!$I$7:$I$11,2)</x:f>
        <x:v>0.009602487087249756</x:v>
      </x:c>
    </x:row>
    <x:row r="15">
      <x:c r="A15" s="151" t="n">
        <x:v>2701</x:v>
      </x:c>
      <x:c r="B15" s="151" t="n">
        <x:v>23</x:v>
      </x:c>
      <x:c r="C15" s="151" t="str">
        <x:f>'Raw Evaluations'!$I$54</x:f>
        <x:v>hidden_state</x:v>
      </x:c>
      <x:c r="D15" s="151" t="n">
        <x:f>'Raw Evaluations'!$S$54</x:f>
        <x:v>2</x:v>
      </x:c>
      <x:c r="E15" s="172" t="n">
        <x:f>'Raw Evaluations'!$Q$54</x:f>
        <x:v>0.8381088972091675</x:v>
      </x:c>
      <x:c r="F15" s="172" t="n">
        <x:f>'Raw Evaluations'!$K$54</x:f>
        <x:v>0.8234</x:v>
      </x:c>
      <x:c r="G15" s="172" t="n">
        <x:f>E15-F15</x:f>
        <x:v>0.01470889720916746</x:v>
      </x:c>
      <x:c r="H15" s="172" t="n">
        <x:f>ABS(G15)</x:f>
        <x:v>0.01470889720916746</x:v>
      </x:c>
      <x:c r="I15" s="151" t="n">
        <x:f>'Raw Evaluations'!$R$54</x:f>
        <x:v>22</x:v>
      </x:c>
      <x:c r="J15" s="172" t="n">
        <x:f>'Raw Evaluations'!$T$54</x:f>
        <x:v>0.000007618761628691573</x:v>
      </x:c>
      <x:c r="K15" s="172" t="n">
        <x:f>AVERAGE('Raw Candidates'!$I$12:$I$16)</x:f>
        <x:v>0.8215184450149536</x:v>
      </x:c>
      <x:c r="L15" s="172" t="n">
        <x:f>MAX('Raw Candidates'!$I$12:$I$16)-MIN('Raw Candidates'!$I$12:$I$16)</x:f>
        <x:v>0.025493979454040527</x:v>
      </x:c>
      <x:c r="M15" s="172" t="n">
        <x:f>E15-K15</x:f>
        <x:v>0.016590452194213845</x:v>
      </x:c>
      <x:c r="N15" s="172" t="n">
        <x:f>MAX('Raw Candidates'!$I$12:$I$16)-LARGE('Raw Candidates'!$I$12:$I$16,2)</x:f>
        <x:v>0.008196234703063965</x:v>
      </x:c>
    </x:row>
    <x:row r="16">
      <x:c r="A16" s="151" t="n">
        <x:v>2701</x:v>
      </x:c>
      <x:c r="B16" s="151" t="n">
        <x:v>24</x:v>
      </x:c>
      <x:c r="C16" s="151" t="str">
        <x:f>'Raw Evaluations'!$I$55</x:f>
        <x:v>operation</x:v>
      </x:c>
      <x:c r="D16" s="151" t="n">
        <x:f>'Raw Evaluations'!$S$55</x:f>
        <x:v>3</x:v>
      </x:c>
      <x:c r="E16" s="172" t="n">
        <x:f>'Raw Evaluations'!$Q$55</x:f>
        <x:v>0.8423382043838501</x:v>
      </x:c>
      <x:c r="F16" s="172" t="n">
        <x:f>'Raw Evaluations'!$K$55</x:f>
        <x:v>0.814</x:v>
      </x:c>
      <x:c r="G16" s="172" t="n">
        <x:f>E16-F16</x:f>
        <x:v>0.028338204383850152</x:v>
      </x:c>
      <x:c r="H16" s="172" t="n">
        <x:f>ABS(G16)</x:f>
        <x:v>0.028338204383850152</x:v>
      </x:c>
      <x:c r="I16" s="151" t="n">
        <x:f>'Raw Evaluations'!$R$55</x:f>
        <x:v>23</x:v>
      </x:c>
      <x:c r="J16" s="172" t="n">
        <x:f>'Raw Evaluations'!$T$55</x:f>
        <x:v>0.000011208487194380725</x:v>
      </x:c>
      <x:c r="K16" s="172" t="n">
        <x:f>AVERAGE('Raw Candidates'!$I$17:$I$21)</x:f>
        <x:v>0.828376579284668</x:v>
      </x:c>
      <x:c r="L16" s="172" t="n">
        <x:f>MAX('Raw Candidates'!$I$17:$I$21)-MIN('Raw Candidates'!$I$17:$I$21)</x:f>
        <x:v>0.024699926376342773</x:v>
      </x:c>
      <x:c r="M16" s="172" t="n">
        <x:f>E16-K16</x:f>
        <x:v>0.013961625099182084</x:v>
      </x:c>
      <x:c r="N16" s="172" t="n">
        <x:f>MAX('Raw Candidates'!$I$17:$I$21)-LARGE('Raw Candidates'!$I$17:$I$21,2)</x:f>
        <x:v>0.007103621959686279</x:v>
      </x:c>
    </x:row>
    <x:row r="17">
      <x:c r="A17" s="151" t="n">
        <x:v>2701</x:v>
      </x:c>
      <x:c r="B17" s="151" t="n">
        <x:v>25</x:v>
      </x:c>
      <x:c r="C17" s="151" t="str">
        <x:f>'Raw Evaluations'!$I$56</x:f>
        <x:v>operation</x:v>
      </x:c>
      <x:c r="D17" s="151" t="n">
        <x:f>'Raw Evaluations'!$S$56</x:f>
        <x:v>1</x:v>
      </x:c>
      <x:c r="E17" s="172" t="n">
        <x:f>'Raw Evaluations'!$Q$56</x:f>
        <x:v>0.8382608890533447</x:v>
      </x:c>
      <x:c r="F17" s="172" t="n">
        <x:f>'Raw Evaluations'!$K$56</x:f>
        <x:v>0.7958</x:v>
      </x:c>
      <x:c r="G17" s="172" t="n">
        <x:f>E17-F17</x:f>
        <x:v>0.042460889053344775</x:v>
      </x:c>
      <x:c r="H17" s="172" t="n">
        <x:f>ABS(G17)</x:f>
        <x:v>0.042460889053344775</x:v>
      </x:c>
      <x:c r="I17" s="151" t="n">
        <x:f>'Raw Evaluations'!$R$56</x:f>
        <x:v>24</x:v>
      </x:c>
      <x:c r="J17" s="172" t="n">
        <x:f>'Raw Evaluations'!$T$56</x:f>
        <x:v>0.00001863009674707428</x:v>
      </x:c>
      <x:c r="K17" s="172" t="n">
        <x:f>AVERAGE('Raw Candidates'!$I$22:$I$26)</x:f>
        <x:v>0.8211126208305359</x:v>
      </x:c>
      <x:c r="L17" s="172" t="n">
        <x:f>MAX('Raw Candidates'!$I$22:$I$26)-MIN('Raw Candidates'!$I$22:$I$26)</x:f>
        <x:v>0.025379717350006104</x:v>
      </x:c>
      <x:c r="M17" s="172" t="n">
        <x:f>E17-K17</x:f>
        <x:v>0.017148268222808793</x:v>
      </x:c>
      <x:c r="N17" s="172" t="n">
        <x:f>MAX('Raw Candidates'!$I$22:$I$26)-LARGE('Raw Candidates'!$I$22:$I$26,2)</x:f>
        <x:v>0.01632070541381836</x:v>
      </x:c>
    </x:row>
    <x:row r="18">
      <x:c r="A18" s="151" t="n">
        <x:v>2701</x:v>
      </x:c>
      <x:c r="B18" s="151" t="n">
        <x:v>26</x:v>
      </x:c>
      <x:c r="C18" s="151" t="str">
        <x:f>'Raw Evaluations'!$I$57</x:f>
        <x:v>hidden_state</x:v>
      </x:c>
      <x:c r="D18" s="151" t="n">
        <x:f>'Raw Evaluations'!$S$57</x:f>
        <x:v>0</x:v>
      </x:c>
      <x:c r="E18" s="172" t="n">
        <x:f>'Raw Evaluations'!$Q$57</x:f>
        <x:v>0.8397152423858643</x:v>
      </x:c>
      <x:c r="F18" s="172" t="n">
        <x:f>'Raw Evaluations'!$K$57</x:f>
        <x:v>0.8202</x:v>
      </x:c>
      <x:c r="G18" s="172" t="n">
        <x:f>E18-F18</x:f>
        <x:v>0.019515242385864218</x:v>
      </x:c>
      <x:c r="H18" s="172" t="n">
        <x:f>ABS(G18)</x:f>
        <x:v>0.019515242385864218</x:v>
      </x:c>
      <x:c r="I18" s="151" t="n">
        <x:f>'Raw Evaluations'!$R$57</x:f>
        <x:v>25</x:v>
      </x:c>
      <x:c r="J18" s="172" t="n">
        <x:f>'Raw Evaluations'!$T$57</x:f>
        <x:v>0.00003130043842247687</x:v>
      </x:c>
      <x:c r="K18" s="172" t="n">
        <x:f>AVERAGE('Raw Candidates'!$I$27:$I$31)</x:f>
        <x:v>0.8268140077590942</x:v>
      </x:c>
      <x:c r="L18" s="172" t="n">
        <x:f>MAX('Raw Candidates'!$I$27:$I$31)-MIN('Raw Candidates'!$I$27:$I$31)</x:f>
        <x:v>0.03182864189147949</x:v>
      </x:c>
      <x:c r="M18" s="172" t="n">
        <x:f>E18-K18</x:f>
        <x:v>0.012901234626770064</x:v>
      </x:c>
      <x:c r="N18" s="172" t="n">
        <x:f>MAX('Raw Candidates'!$I$27:$I$31)-LARGE('Raw Candidates'!$I$27:$I$31,2)</x:f>
        <x:v>0.0008229613304138184</x:v>
      </x:c>
    </x:row>
    <x:row r="19">
      <x:c r="A19" s="151" t="n">
        <x:v>2701</x:v>
      </x:c>
      <x:c r="B19" s="151" t="n">
        <x:v>27</x:v>
      </x:c>
      <x:c r="C19" s="151" t="str">
        <x:f>'Raw Evaluations'!$I$58</x:f>
        <x:v>hidden_state</x:v>
      </x:c>
      <x:c r="D19" s="151" t="n">
        <x:f>'Raw Evaluations'!$S$58</x:f>
        <x:v>4</x:v>
      </x:c>
      <x:c r="E19" s="172" t="n">
        <x:f>'Raw Evaluations'!$Q$58</x:f>
        <x:v>0.8258655667304993</x:v>
      </x:c>
      <x:c r="F19" s="172" t="n">
        <x:f>'Raw Evaluations'!$K$58</x:f>
        <x:v>0.8192</x:v>
      </x:c>
      <x:c r="G19" s="172" t="n">
        <x:f>E19-F19</x:f>
        <x:v>0.006665566730499228</x:v>
      </x:c>
      <x:c r="H19" s="172" t="n">
        <x:f>ABS(G19)</x:f>
        <x:v>0.006665566730499228</x:v>
      </x:c>
      <x:c r="I19" s="151" t="n">
        <x:f>'Raw Evaluations'!$R$58</x:f>
        <x:v>26</x:v>
      </x:c>
      <x:c r="J19" s="172" t="n">
        <x:f>'Raw Evaluations'!$T$58</x:f>
        <x:v>0.0000396069444832392</x:v>
      </x:c>
      <x:c r="K19" s="172" t="n">
        <x:f>AVERAGE('Raw Candidates'!$I$32:$I$36)</x:f>
        <x:v>0.8165917992591858</x:v>
      </x:c>
      <x:c r="L19" s="172" t="n">
        <x:f>MAX('Raw Candidates'!$I$32:$I$36)-MIN('Raw Candidates'!$I$32:$I$36)</x:f>
        <x:v>0.02121955156326294</x:v>
      </x:c>
      <x:c r="M19" s="172" t="n">
        <x:f>E19-K19</x:f>
        <x:v>0.009273767471313477</x:v>
      </x:c>
      <x:c r="N19" s="172" t="n">
        <x:f>MAX('Raw Candidates'!$I$32:$I$36)-LARGE('Raw Candidates'!$I$32:$I$36,2)</x:f>
        <x:v>0.003639519214630127</x:v>
      </x:c>
    </x:row>
    <x:row r="20">
      <x:c r="A20" s="151" t="n">
        <x:v>2701</x:v>
      </x:c>
      <x:c r="B20" s="151" t="n">
        <x:v>28</x:v>
      </x:c>
      <x:c r="C20" s="151" t="str">
        <x:f>'Raw Evaluations'!$I$59</x:f>
        <x:v>operation</x:v>
      </x:c>
      <x:c r="D20" s="151" t="n">
        <x:f>'Raw Evaluations'!$S$59</x:f>
        <x:v>4</x:v>
      </x:c>
      <x:c r="E20" s="172" t="n">
        <x:f>'Raw Evaluations'!$Q$59</x:f>
        <x:v>0.8335389494895935</x:v>
      </x:c>
      <x:c r="F20" s="172" t="n">
        <x:f>'Raw Evaluations'!$K$59</x:f>
        <x:v>0.822</x:v>
      </x:c>
      <x:c r="G20" s="172" t="n">
        <x:f>E20-F20</x:f>
        <x:v>0.011538949489593553</x:v>
      </x:c>
      <x:c r="H20" s="172" t="n">
        <x:f>ABS(G20)</x:f>
        <x:v>0.011538949489593553</x:v>
      </x:c>
      <x:c r="I20" s="151" t="n">
        <x:f>'Raw Evaluations'!$R$59</x:f>
        <x:v>27</x:v>
      </x:c>
      <x:c r="J20" s="172" t="n">
        <x:f>'Raw Evaluations'!$T$59</x:f>
        <x:v>0.00003928333171643317</x:v>
      </x:c>
      <x:c r="K20" s="172" t="n">
        <x:f>AVERAGE('Raw Candidates'!$I$37:$I$41)</x:f>
        <x:v>0.8099465250968934</x:v>
      </x:c>
      <x:c r="L20" s="172" t="n">
        <x:f>MAX('Raw Candidates'!$I$37:$I$41)-MIN('Raw Candidates'!$I$37:$I$41)</x:f>
        <x:v>0.037794649600982666</x:v>
      </x:c>
      <x:c r="M20" s="172" t="n">
        <x:f>E20-K20</x:f>
        <x:v>0.02359242439270015</x:v>
      </x:c>
      <x:c r="N20" s="172" t="n">
        <x:f>MAX('Raw Candidates'!$I$37:$I$41)-LARGE('Raw Candidates'!$I$37:$I$41,2)</x:f>
        <x:v>0.0191689133644104</x:v>
      </x:c>
    </x:row>
    <x:row r="21">
      <x:c r="A21" s="151" t="n">
        <x:v>2701</x:v>
      </x:c>
      <x:c r="B21" s="151" t="n">
        <x:v>29</x:v>
      </x:c>
      <x:c r="C21" s="151" t="str">
        <x:f>'Raw Evaluations'!$I$60</x:f>
        <x:v>hidden_state</x:v>
      </x:c>
      <x:c r="D21" s="151" t="n">
        <x:f>'Raw Evaluations'!$S$60</x:f>
        <x:v>4</x:v>
      </x:c>
      <x:c r="E21" s="172" t="n">
        <x:f>'Raw Evaluations'!$Q$60</x:f>
        <x:v>0.8243990540504456</x:v>
      </x:c>
      <x:c r="F21" s="172" t="n">
        <x:f>'Raw Evaluations'!$K$60</x:f>
        <x:v>0.8202</x:v>
      </x:c>
      <x:c r="G21" s="172" t="n">
        <x:f>E21-F21</x:f>
        <x:v>0.0041990540504455165</x:v>
      </x:c>
      <x:c r="H21" s="172" t="n">
        <x:f>ABS(G21)</x:f>
        <x:v>0.0041990540504455165</x:v>
      </x:c>
      <x:c r="I21" s="151" t="n">
        <x:f>'Raw Evaluations'!$R$60</x:f>
        <x:v>28</x:v>
      </x:c>
      <x:c r="J21" s="172" t="n">
        <x:f>'Raw Evaluations'!$T$60</x:f>
        <x:v>0.00003972751437686384</x:v>
      </x:c>
      <x:c r="K21" s="172" t="n">
        <x:f>AVERAGE('Raw Candidates'!$I$42:$I$46)</x:f>
        <x:v>0.8051893591880799</x:v>
      </x:c>
      <x:c r="L21" s="172" t="n">
        <x:f>MAX('Raw Candidates'!$I$42:$I$46)-MIN('Raw Candidates'!$I$42:$I$46)</x:f>
        <x:v>0.02971714735031128</x:v>
      </x:c>
      <x:c r="M21" s="172" t="n">
        <x:f>E21-K21</x:f>
        <x:v>0.019209694862365678</x:v>
      </x:c>
      <x:c r="N21" s="172" t="n">
        <x:f>MAX('Raw Candidates'!$I$42:$I$46)-LARGE('Raw Candidates'!$I$42:$I$46,2)</x:f>
        <x:v>0.017039358615875244</x:v>
      </x:c>
    </x:row>
    <x:row r="22">
      <x:c r="A22" s="151" t="n">
        <x:v>2701</x:v>
      </x:c>
      <x:c r="B22" s="151" t="n">
        <x:v>30</x:v>
      </x:c>
      <x:c r="C22" s="151" t="str">
        <x:f>'Raw Evaluations'!$I$61</x:f>
        <x:v>hidden_state</x:v>
      </x:c>
      <x:c r="D22" s="151" t="n">
        <x:f>'Raw Evaluations'!$S$61</x:f>
        <x:v>2</x:v>
      </x:c>
      <x:c r="E22" s="172" t="n">
        <x:f>'Raw Evaluations'!$Q$61</x:f>
        <x:v>0.8130098581314087</x:v>
      </x:c>
      <x:c r="F22" s="172" t="n">
        <x:f>'Raw Evaluations'!$K$61</x:f>
        <x:v>0.8196</x:v>
      </x:c>
      <x:c r="G22" s="172" t="n">
        <x:f>E22-F22</x:f>
        <x:v>-0.006590141868591304</x:v>
      </x:c>
      <x:c r="H22" s="172" t="n">
        <x:f>ABS(G22)</x:f>
        <x:v>0.006590141868591304</x:v>
      </x:c>
      <x:c r="I22" s="151" t="n">
        <x:f>'Raw Evaluations'!$R$61</x:f>
        <x:v>29</x:v>
      </x:c>
      <x:c r="J22" s="172" t="n">
        <x:f>'Raw Evaluations'!$T$61</x:f>
        <x:v>0.00003913062755600549</x:v>
      </x:c>
      <x:c r="K22" s="172" t="n">
        <x:f>AVERAGE('Raw Candidates'!$I$47:$I$51)</x:f>
        <x:v>0.8011677503585816</x:v>
      </x:c>
      <x:c r="L22" s="172" t="n">
        <x:f>MAX('Raw Candidates'!$I$47:$I$51)-MIN('Raw Candidates'!$I$47:$I$51)</x:f>
        <x:v>0.020913004875183105</x:v>
      </x:c>
      <x:c r="M22" s="172" t="n">
        <x:f>E22-K22</x:f>
        <x:v>0.011842107772827126</x:v>
      </x:c>
      <x:c r="N22" s="172" t="n">
        <x:f>MAX('Raw Candidates'!$I$47:$I$51)-LARGE('Raw Candidates'!$I$47:$I$51,2)</x:f>
        <x:v>0.008423328399658203</x:v>
      </x:c>
    </x:row>
    <x:row r="23">
      <x:c r="A23" s="151" t="n">
        <x:v>2702</x:v>
      </x:c>
      <x:c r="B23" s="151" t="n">
        <x:v>21</x:v>
      </x:c>
      <x:c r="C23" s="151" t="str">
        <x:f>'Raw Evaluations'!$I$112</x:f>
        <x:v>hidden_state</x:v>
      </x:c>
      <x:c r="D23" s="151" t="n">
        <x:f>'Raw Evaluations'!$S$112</x:f>
        <x:v>4</x:v>
      </x:c>
      <x:c r="E23" s="172" t="n">
        <x:f>'Raw Evaluations'!$Q$112</x:f>
        <x:v>0.8121410608291626</x:v>
      </x:c>
      <x:c r="F23" s="172" t="n">
        <x:f>'Raw Evaluations'!$K$112</x:f>
        <x:v>0.8172</x:v>
      </x:c>
      <x:c r="G23" s="172" t="n">
        <x:f>E23-F23</x:f>
        <x:v>-0.00505893917083744</x:v>
      </x:c>
      <x:c r="H23" s="172" t="n">
        <x:f>ABS(G23)</x:f>
        <x:v>0.00505893917083744</x:v>
      </x:c>
      <x:c r="I23" s="151" t="n">
        <x:f>'Raw Evaluations'!$R$112</x:f>
        <x:v>20</x:v>
      </x:c>
      <x:c r="J23" s="172" t="n">
        <x:f>'Raw Evaluations'!$T$112</x:f>
        <x:v>1.6378633560520942e-8</x:v>
      </x:c>
      <x:c r="K23" s="172" t="n">
        <x:f>AVERAGE('Raw Candidates'!$I$52:$I$56)</x:f>
        <x:v>0.8025084257125854</x:v>
      </x:c>
      <x:c r="L23" s="172" t="n">
        <x:f>MAX('Raw Candidates'!$I$52:$I$56)-MIN('Raw Candidates'!$I$52:$I$56)</x:f>
        <x:v>0.015542984008789062</x:v>
      </x:c>
      <x:c r="M23" s="172" t="n">
        <x:f>E23-K23</x:f>
        <x:v>0.009632635116577193</x:v>
      </x:c>
      <x:c r="N23" s="172" t="n">
        <x:f>MAX('Raw Candidates'!$I$52:$I$56)-LARGE('Raw Candidates'!$I$52:$I$56,2)</x:f>
        <x:v>0.009689748287200928</x:v>
      </x:c>
    </x:row>
    <x:row r="24">
      <x:c r="A24" s="151" t="n">
        <x:v>2702</x:v>
      </x:c>
      <x:c r="B24" s="151" t="n">
        <x:v>22</x:v>
      </x:c>
      <x:c r="C24" s="151" t="str">
        <x:f>'Raw Evaluations'!$I$113</x:f>
        <x:v>identity</x:v>
      </x:c>
      <x:c r="D24" s="151" t="n">
        <x:f>'Raw Evaluations'!$S$113</x:f>
        <x:v>1</x:v>
      </x:c>
      <x:c r="E24" s="172" t="n">
        <x:f>'Raw Evaluations'!$Q$113</x:f>
        <x:v>0.8153336048126221</x:v>
      </x:c>
      <x:c r="F24" s="172" t="n">
        <x:f>'Raw Evaluations'!$K$113</x:f>
        <x:v>0.8192</x:v>
      </x:c>
      <x:c r="G24" s="172" t="n">
        <x:f>E24-F24</x:f>
        <x:v>-0.003866395187377969</x:v>
      </x:c>
      <x:c r="H24" s="172" t="n">
        <x:f>ABS(G24)</x:f>
        <x:v>0.003866395187377969</x:v>
      </x:c>
      <x:c r="I24" s="151" t="n">
        <x:f>'Raw Evaluations'!$R$113</x:f>
        <x:v>21</x:v>
      </x:c>
      <x:c r="J24" s="172" t="n">
        <x:f>'Raw Evaluations'!$T$113</x:f>
        <x:v>3.348316397477902e-7</x:v>
      </x:c>
      <x:c r="K24" s="172" t="n">
        <x:f>AVERAGE('Raw Candidates'!$I$57:$I$61)</x:f>
        <x:v>0.8113964080810547</x:v>
      </x:c>
      <x:c r="L24" s="172" t="n">
        <x:f>MAX('Raw Candidates'!$I$57:$I$61)-MIN('Raw Candidates'!$I$57:$I$61)</x:f>
        <x:v>0.014957904815673828</x:v>
      </x:c>
      <x:c r="M24" s="172" t="n">
        <x:f>E24-K24</x:f>
        <x:v>0.003937196731567338</x:v>
      </x:c>
      <x:c r="N24" s="172" t="n">
        <x:f>MAX('Raw Candidates'!$I$57:$I$61)-LARGE('Raw Candidates'!$I$57:$I$61,2)</x:f>
        <x:v>0</x:v>
      </x:c>
    </x:row>
    <x:row r="25">
      <x:c r="A25" s="151" t="n">
        <x:v>2702</x:v>
      </x:c>
      <x:c r="B25" s="151" t="n">
        <x:v>23</x:v>
      </x:c>
      <x:c r="C25" s="151" t="str">
        <x:f>'Raw Evaluations'!$I$114</x:f>
        <x:v>hidden_state</x:v>
      </x:c>
      <x:c r="D25" s="151" t="n">
        <x:f>'Raw Evaluations'!$S$114</x:f>
        <x:v>4</x:v>
      </x:c>
      <x:c r="E25" s="172" t="n">
        <x:f>'Raw Evaluations'!$Q$114</x:f>
        <x:v>0.8266068696975708</x:v>
      </x:c>
      <x:c r="F25" s="172" t="n">
        <x:f>'Raw Evaluations'!$K$114</x:f>
        <x:v>0.8232</x:v>
      </x:c>
      <x:c r="G25" s="172" t="n">
        <x:f>E25-F25</x:f>
        <x:v>0.003406869697570758</x:v>
      </x:c>
      <x:c r="H25" s="172" t="n">
        <x:f>ABS(G25)</x:f>
        <x:v>0.003406869697570758</x:v>
      </x:c>
      <x:c r="I25" s="151" t="n">
        <x:f>'Raw Evaluations'!$R$114</x:f>
        <x:v>22</x:v>
      </x:c>
      <x:c r="J25" s="172" t="n">
        <x:f>'Raw Evaluations'!$T$114</x:f>
        <x:v>6.282977551563818e-7</x:v>
      </x:c>
      <x:c r="K25" s="172" t="n">
        <x:f>AVERAGE('Raw Candidates'!$I$62:$I$66)</x:f>
        <x:v>0.8177207231521606</x:v>
      </x:c>
      <x:c r="L25" s="172" t="n">
        <x:f>MAX('Raw Candidates'!$I$62:$I$66)-MIN('Raw Candidates'!$I$62:$I$66)</x:f>
        <x:v>0.016347408294677734</x:v>
      </x:c>
      <x:c r="M25" s="172" t="n">
        <x:f>E25-K25</x:f>
        <x:v>0.0088861465454102</x:v>
      </x:c>
      <x:c r="N25" s="172" t="n">
        <x:f>MAX('Raw Candidates'!$I$62:$I$66)-LARGE('Raw Candidates'!$I$62:$I$66,2)</x:f>
        <x:v>0.001003861427307129</x:v>
      </x:c>
    </x:row>
    <x:row r="26">
      <x:c r="A26" s="151" t="n">
        <x:v>2702</x:v>
      </x:c>
      <x:c r="B26" s="151" t="n">
        <x:v>24</x:v>
      </x:c>
      <x:c r="C26" s="151" t="str">
        <x:f>'Raw Evaluations'!$I$115</x:f>
        <x:v>hidden_state</x:v>
      </x:c>
      <x:c r="D26" s="151" t="n">
        <x:f>'Raw Evaluations'!$S$115</x:f>
        <x:v>1</x:v>
      </x:c>
      <x:c r="E26" s="172" t="n">
        <x:f>'Raw Evaluations'!$Q$115</x:f>
        <x:v>0.8323593139648438</x:v>
      </x:c>
      <x:c r="F26" s="172" t="n">
        <x:f>'Raw Evaluations'!$K$115</x:f>
        <x:v>0.8062</x:v>
      </x:c>
      <x:c r="G26" s="172" t="n">
        <x:f>E26-F26</x:f>
        <x:v>0.026159313964843722</x:v>
      </x:c>
      <x:c r="H26" s="172" t="n">
        <x:f>ABS(G26)</x:f>
        <x:v>0.026159313964843722</x:v>
      </x:c>
      <x:c r="I26" s="151" t="n">
        <x:f>'Raw Evaluations'!$R$115</x:f>
        <x:v>23</x:v>
      </x:c>
      <x:c r="J26" s="172" t="n">
        <x:f>'Raw Evaluations'!$T$115</x:f>
        <x:v>8.362522976312903e-7</x:v>
      </x:c>
      <x:c r="K26" s="172" t="n">
        <x:f>AVERAGE('Raw Candidates'!$I$67:$I$71)</x:f>
        <x:v>0.8184321045875549</x:v>
      </x:c>
      <x:c r="L26" s="172" t="n">
        <x:f>MAX('Raw Candidates'!$I$67:$I$71)-MIN('Raw Candidates'!$I$67:$I$71)</x:f>
        <x:v>0.02343916893005371</x:v>
      </x:c>
      <x:c r="M26" s="172" t="n">
        <x:f>E26-K26</x:f>
        <x:v>0.013927209377288863</x:v>
      </x:c>
      <x:c r="N26" s="172" t="n">
        <x:f>MAX('Raw Candidates'!$I$67:$I$71)-LARGE('Raw Candidates'!$I$67:$I$71,2)</x:f>
        <x:v>0.011610805988311768</x:v>
      </x:c>
    </x:row>
    <x:row r="27">
      <x:c r="A27" s="151" t="n">
        <x:v>2702</x:v>
      </x:c>
      <x:c r="B27" s="151" t="n">
        <x:v>25</x:v>
      </x:c>
      <x:c r="C27" s="151" t="str">
        <x:f>'Raw Evaluations'!$I$116</x:f>
        <x:v>hidden_state</x:v>
      </x:c>
      <x:c r="D27" s="151" t="n">
        <x:f>'Raw Evaluations'!$S$116</x:f>
        <x:v>0</x:v>
      </x:c>
      <x:c r="E27" s="172" t="n">
        <x:f>'Raw Evaluations'!$Q$116</x:f>
        <x:v>0.8261001110076904</x:v>
      </x:c>
      <x:c r="F27" s="172" t="n">
        <x:f>'Raw Evaluations'!$K$116</x:f>
        <x:v>0.8212</x:v>
      </x:c>
      <x:c r="G27" s="172" t="n">
        <x:f>E27-F27</x:f>
        <x:v>0.004900111007690389</x:v>
      </x:c>
      <x:c r="H27" s="172" t="n">
        <x:f>ABS(G27)</x:f>
        <x:v>0.004900111007690389</x:v>
      </x:c>
      <x:c r="I27" s="151" t="n">
        <x:f>'Raw Evaluations'!$R$116</x:f>
        <x:v>24</x:v>
      </x:c>
      <x:c r="J27" s="172" t="n">
        <x:f>'Raw Evaluations'!$T$116</x:f>
        <x:v>0.000012390308256726712</x:v>
      </x:c>
      <x:c r="K27" s="172" t="n">
        <x:f>AVERAGE('Raw Candidates'!$I$72:$I$76)</x:f>
        <x:v>0.8234763503074646</x:v>
      </x:c>
      <x:c r="L27" s="172" t="n">
        <x:f>MAX('Raw Candidates'!$I$72:$I$76)-MIN('Raw Candidates'!$I$72:$I$76)</x:f>
        <x:v>0.008881807327270508</x:v>
      </x:c>
      <x:c r="M27" s="172" t="n">
        <x:f>E27-K27</x:f>
        <x:v>0.0026237607002258523</x:v>
      </x:c>
      <x:c r="N27" s="172" t="n">
        <x:f>MAX('Raw Candidates'!$I$72:$I$76)-LARGE('Raw Candidates'!$I$72:$I$76,2)</x:f>
        <x:v>0.0010213851928710938</x:v>
      </x:c>
    </x:row>
    <x:row r="28">
      <x:c r="A28" s="151" t="n">
        <x:v>2702</x:v>
      </x:c>
      <x:c r="B28" s="151" t="n">
        <x:v>26</x:v>
      </x:c>
      <x:c r="C28" s="151" t="str">
        <x:f>'Raw Evaluations'!$I$117</x:f>
        <x:v>hidden_state</x:v>
      </x:c>
      <x:c r="D28" s="151" t="n">
        <x:f>'Raw Evaluations'!$S$117</x:f>
        <x:v>4</x:v>
      </x:c>
      <x:c r="E28" s="172" t="n">
        <x:f>'Raw Evaluations'!$Q$117</x:f>
        <x:v>0.826047956943512</x:v>
      </x:c>
      <x:c r="F28" s="172" t="n">
        <x:f>'Raw Evaluations'!$K$117</x:f>
        <x:v>0.8092</x:v>
      </x:c>
      <x:c r="G28" s="172" t="n">
        <x:f>E28-F28</x:f>
        <x:v>0.016847956943511933</x:v>
      </x:c>
      <x:c r="H28" s="172" t="n">
        <x:f>ABS(G28)</x:f>
        <x:v>0.016847956943511933</x:v>
      </x:c>
      <x:c r="I28" s="151" t="n">
        <x:f>'Raw Evaluations'!$R$117</x:f>
        <x:v>25</x:v>
      </x:c>
      <x:c r="J28" s="172" t="n">
        <x:f>'Raw Evaluations'!$T$117</x:f>
        <x:v>0.000012083628462278284</x:v>
      </x:c>
      <x:c r="K28" s="172" t="n">
        <x:f>AVERAGE('Raw Candidates'!$I$77:$I$81)</x:f>
        <x:v>0.8197149157524108</x:v>
      </x:c>
      <x:c r="L28" s="172" t="n">
        <x:f>MAX('Raw Candidates'!$I$77:$I$81)-MIN('Raw Candidates'!$I$77:$I$81)</x:f>
        <x:v>0.013329565525054932</x:v>
      </x:c>
      <x:c r="M28" s="172" t="n">
        <x:f>E28-K28</x:f>
        <x:v>0.006333041191101119</x:v>
      </x:c>
      <x:c r="N28" s="172" t="n">
        <x:f>MAX('Raw Candidates'!$I$77:$I$81)-LARGE('Raw Candidates'!$I$77:$I$81,2)</x:f>
        <x:v>0.004839599132537842</x:v>
      </x:c>
    </x:row>
    <x:row r="29">
      <x:c r="A29" s="151" t="n">
        <x:v>2702</x:v>
      </x:c>
      <x:c r="B29" s="151" t="n">
        <x:v>27</x:v>
      </x:c>
      <x:c r="C29" s="151" t="str">
        <x:f>'Raw Evaluations'!$I$118</x:f>
        <x:v>hidden_state</x:v>
      </x:c>
      <x:c r="D29" s="151" t="n">
        <x:f>'Raw Evaluations'!$S$118</x:f>
        <x:v>3</x:v>
      </x:c>
      <x:c r="E29" s="172" t="n">
        <x:f>'Raw Evaluations'!$Q$118</x:f>
        <x:v>0.819709300994873</x:v>
      </x:c>
      <x:c r="F29" s="172" t="n">
        <x:f>'Raw Evaluations'!$K$118</x:f>
        <x:v>0.813</x:v>
      </x:c>
      <x:c r="G29" s="172" t="n">
        <x:f>E29-F29</x:f>
        <x:v>0.006709300994873102</x:v>
      </x:c>
      <x:c r="H29" s="172" t="n">
        <x:f>ABS(G29)</x:f>
        <x:v>0.006709300994873102</x:v>
      </x:c>
      <x:c r="I29" s="151" t="n">
        <x:f>'Raw Evaluations'!$R$118</x:f>
        <x:v>26</x:v>
      </x:c>
      <x:c r="J29" s="172" t="n">
        <x:f>'Raw Evaluations'!$T$118</x:f>
        <x:v>0.000017245121853193268</x:v>
      </x:c>
      <x:c r="K29" s="172" t="n">
        <x:f>AVERAGE('Raw Candidates'!$I$82:$I$86)</x:f>
        <x:v>0.8084901094436645</x:v>
      </x:c>
      <x:c r="L29" s="172" t="n">
        <x:f>MAX('Raw Candidates'!$I$82:$I$86)-MIN('Raw Candidates'!$I$82:$I$86)</x:f>
        <x:v>0.026456832885742188</x:v>
      </x:c>
      <x:c r="M29" s="172" t="n">
        <x:f>E29-K29</x:f>
        <x:v>0.01121919155120854</x:v>
      </x:c>
      <x:c r="N29" s="172" t="n">
        <x:f>MAX('Raw Candidates'!$I$82:$I$86)-LARGE('Raw Candidates'!$I$82:$I$86,2)</x:f>
        <x:v>0.0028957724571228027</x:v>
      </x:c>
    </x:row>
    <x:row r="30">
      <x:c r="A30" s="151" t="n">
        <x:v>2702</x:v>
      </x:c>
      <x:c r="B30" s="151" t="n">
        <x:v>28</x:v>
      </x:c>
      <x:c r="C30" s="151" t="str">
        <x:f>'Raw Evaluations'!$I$119</x:f>
        <x:v>operation</x:v>
      </x:c>
      <x:c r="D30" s="151" t="n">
        <x:f>'Raw Evaluations'!$S$119</x:f>
        <x:v>4</x:v>
      </x:c>
      <x:c r="E30" s="172" t="n">
        <x:f>'Raw Evaluations'!$Q$119</x:f>
        <x:v>0.837950587272644</x:v>
      </x:c>
      <x:c r="F30" s="172" t="n">
        <x:f>'Raw Evaluations'!$K$119</x:f>
        <x:v>0.803</x:v>
      </x:c>
      <x:c r="G30" s="172" t="n">
        <x:f>E30-F30</x:f>
        <x:v>0.034950587272643996</x:v>
      </x:c>
      <x:c r="H30" s="172" t="n">
        <x:f>ABS(G30)</x:f>
        <x:v>0.034950587272643996</x:v>
      </x:c>
      <x:c r="I30" s="151" t="n">
        <x:f>'Raw Evaluations'!$R$119</x:f>
        <x:v>27</x:v>
      </x:c>
      <x:c r="J30" s="172" t="n">
        <x:f>'Raw Evaluations'!$T$119</x:f>
        <x:v>0.000018085793271893635</x:v>
      </x:c>
      <x:c r="K30" s="172" t="n">
        <x:f>AVERAGE('Raw Candidates'!$I$87:$I$91)</x:f>
        <x:v>0.8229336619377137</x:v>
      </x:c>
      <x:c r="L30" s="172" t="n">
        <x:f>MAX('Raw Candidates'!$I$87:$I$91)-MIN('Raw Candidates'!$I$87:$I$91)</x:f>
        <x:v>0.02619701623916626</x:v>
      </x:c>
      <x:c r="M30" s="172" t="n">
        <x:f>E30-K30</x:f>
        <x:v>0.015016925334930376</x:v>
      </x:c>
      <x:c r="N30" s="172" t="n">
        <x:f>MAX('Raw Candidates'!$I$87:$I$91)-LARGE('Raw Candidates'!$I$87:$I$91,2)</x:f>
        <x:v>0.008659541606903076</x:v>
      </x:c>
    </x:row>
    <x:row r="31">
      <x:c r="A31" s="151" t="n">
        <x:v>2702</x:v>
      </x:c>
      <x:c r="B31" s="151" t="n">
        <x:v>29</x:v>
      </x:c>
      <x:c r="C31" s="151" t="str">
        <x:f>'Raw Evaluations'!$I$120</x:f>
        <x:v>hidden_state</x:v>
      </x:c>
      <x:c r="D31" s="151" t="n">
        <x:f>'Raw Evaluations'!$S$120</x:f>
        <x:v>4</x:v>
      </x:c>
      <x:c r="E31" s="172" t="n">
        <x:f>'Raw Evaluations'!$Q$120</x:f>
        <x:v>0.8162235021591187</x:v>
      </x:c>
      <x:c r="F31" s="172" t="n">
        <x:f>'Raw Evaluations'!$K$120</x:f>
        <x:v>0.8138</x:v>
      </x:c>
      <x:c r="G31" s="172" t="n">
        <x:f>E31-F31</x:f>
        <x:v>0.0024235021591186845</x:v>
      </x:c>
      <x:c r="H31" s="172" t="n">
        <x:f>ABS(G31)</x:f>
        <x:v>0.0024235021591186845</x:v>
      </x:c>
      <x:c r="I31" s="151" t="n">
        <x:f>'Raw Evaluations'!$R$120</x:f>
        <x:v>28</x:v>
      </x:c>
      <x:c r="J31" s="172" t="n">
        <x:f>'Raw Evaluations'!$T$120</x:f>
        <x:v>0.000036914414522470906</x:v>
      </x:c>
      <x:c r="K31" s="172" t="n">
        <x:f>AVERAGE('Raw Candidates'!$I$92:$I$96)</x:f>
        <x:v>0.8028916954994202</x:v>
      </x:c>
      <x:c r="L31" s="172" t="n">
        <x:f>MAX('Raw Candidates'!$I$92:$I$96)-MIN('Raw Candidates'!$I$92:$I$96)</x:f>
        <x:v>0.025830566883087158</x:v>
      </x:c>
      <x:c r="M31" s="172" t="n">
        <x:f>E31-K31</x:f>
        <x:v>0.013331806659698464</x:v>
      </x:c>
      <x:c r="N31" s="172" t="n">
        <x:f>MAX('Raw Candidates'!$I$92:$I$96)-LARGE('Raw Candidates'!$I$92:$I$96,2)</x:f>
        <x:v>0.008652210235595703</x:v>
      </x:c>
    </x:row>
    <x:row r="32">
      <x:c r="A32" s="151" t="n">
        <x:v>2702</x:v>
      </x:c>
      <x:c r="B32" s="151" t="n">
        <x:v>30</x:v>
      </x:c>
      <x:c r="C32" s="151" t="str">
        <x:f>'Raw Evaluations'!$I$121</x:f>
        <x:v>operation</x:v>
      </x:c>
      <x:c r="D32" s="151" t="n">
        <x:f>'Raw Evaluations'!$S$121</x:f>
        <x:v>1</x:v>
      </x:c>
      <x:c r="E32" s="172" t="n">
        <x:f>'Raw Evaluations'!$Q$121</x:f>
        <x:v>0.8318125009536743</x:v>
      </x:c>
      <x:c r="F32" s="172" t="n">
        <x:f>'Raw Evaluations'!$K$121</x:f>
        <x:v>0.817</x:v>
      </x:c>
      <x:c r="G32" s="172" t="n">
        <x:f>E32-F32</x:f>
        <x:v>0.014812500953674368</x:v>
      </x:c>
      <x:c r="H32" s="172" t="n">
        <x:f>ABS(G32)</x:f>
        <x:v>0.014812500953674368</x:v>
      </x:c>
      <x:c r="I32" s="151" t="n">
        <x:f>'Raw Evaluations'!$R$121</x:f>
        <x:v>29</x:v>
      </x:c>
      <x:c r="J32" s="172" t="n">
        <x:f>'Raw Evaluations'!$T$121</x:f>
        <x:v>0.000034236425562994555</x:v>
      </x:c>
      <x:c r="K32" s="172" t="n">
        <x:f>AVERAGE('Raw Candidates'!$I$97:$I$101)</x:f>
        <x:v>0.8187086105346679</x:v>
      </x:c>
      <x:c r="L32" s="172" t="n">
        <x:f>MAX('Raw Candidates'!$I$97:$I$101)-MIN('Raw Candidates'!$I$97:$I$101)</x:f>
        <x:v>0.026925206184387207</x:v>
      </x:c>
      <x:c r="M32" s="172" t="n">
        <x:f>E32-K32</x:f>
        <x:v>0.013103890419006392</x:v>
      </x:c>
      <x:c r="N32" s="172" t="n">
        <x:f>MAX('Raw Candidates'!$I$97:$I$101)-LARGE('Raw Candidates'!$I$97:$I$101,2)</x:f>
        <x:v>0.007072865962982178</x:v>
      </x:c>
    </x:row>
    <x:row r="33">
      <x:c r="A33" s="146"/>
      <x:c r="B33" s="146"/>
      <x:c r="C33" s="146"/>
      <x:c r="D33" s="146"/>
      <x:c r="E33" s="146"/>
      <x:c r="F33" s="146"/>
      <x:c r="G33" s="146"/>
      <x:c r="H33" s="146"/>
      <x:c r="I33" s="146"/>
      <x:c r="J33" s="146"/>
      <x:c r="K33" s="146"/>
      <x:c r="L33" s="146"/>
      <x:c r="M33" s="146"/>
      <x:c r="N33" s="146"/>
    </x:row>
    <x:row r="34">
      <x:c r="A34" s="146"/>
      <x:c r="B34" s="146"/>
      <x:c r="C34" s="146"/>
      <x:c r="D34" s="146"/>
      <x:c r="E34" s="146"/>
      <x:c r="F34" s="146"/>
      <x:c r="G34" s="146"/>
      <x:c r="H34" s="146"/>
      <x:c r="I34" s="146"/>
      <x:c r="J34" s="146"/>
      <x:c r="K34" s="146"/>
      <x:c r="L34" s="146"/>
      <x:c r="M34" s="146"/>
      <x:c r="N34" s="146"/>
    </x:row>
    <x:row r="35">
      <x:c r="A35" s="132" t="str">
        <x:v>Selected-candidate diagnostics by mutation type</x:v>
      </x:c>
      <x:c r="B35" s="146"/>
      <x:c r="C35" s="146"/>
      <x:c r="D35" s="146"/>
      <x:c r="E35" s="146"/>
      <x:c r="F35" s="146"/>
      <x:c r="G35" s="146"/>
      <x:c r="H35" s="146"/>
      <x:c r="I35" s="146"/>
      <x:c r="J35" s="146"/>
      <x:c r="K35" s="146"/>
      <x:c r="L35" s="146"/>
      <x:c r="M35" s="146"/>
      <x:c r="N35" s="146"/>
    </x:row>
    <x:row r="36">
      <x:c r="A36" s="133" t="str">
        <x:v>Mutation</x:v>
      </x:c>
      <x:c r="B36" s="134" t="str">
        <x:v>Selected n</x:v>
      </x:c>
      <x:c r="C36" s="134" t="str">
        <x:v>Actual mean</x:v>
      </x:c>
      <x:c r="D36" s="134" t="str">
        <x:v>Predicted mean</x:v>
      </x:c>
      <x:c r="E36" s="134" t="str">
        <x:v>MAE</x:v>
      </x:c>
      <x:c r="F36" s="135" t="str">
        <x:v>Mean bias</x:v>
      </x:c>
      <x:c r="G36" s="146"/>
      <x:c r="H36" s="146"/>
      <x:c r="I36" s="146"/>
      <x:c r="J36" s="146"/>
      <x:c r="K36" s="146"/>
      <x:c r="L36" s="146"/>
      <x:c r="M36" s="146"/>
      <x:c r="N36" s="146"/>
    </x:row>
    <x:row r="37">
      <x:c r="A37" s="149" t="str">
        <x:v>hidden_state</x:v>
      </x:c>
      <x:c r="B37" s="149" t="n">
        <x:f>COUNTIF($C$13:$C$32,A37)</x:f>
        <x:v>13</x:v>
      </x:c>
      <x:c r="C37" s="150" t="n">
        <x:f>AVERAGEIF($C$13:$C$32,A37,$F$13:$F$32)</x:f>
        <x:v>0.8146153846153847</x:v>
      </x:c>
      <x:c r="D37" s="150" t="n">
        <x:f>AVERAGEIF($C$13:$C$32,A37,$E$13:$E$32)</x:f>
        <x:v>0.8203433797909663</x:v>
      </x:c>
      <x:c r="E37" s="150" t="n">
        <x:f>AVERAGEIF($C$13:$C$32,A37,$H$13:$H$32)</x:f>
        <x:v>0.010508284077277535</x:v>
      </x:c>
      <x:c r="F37" s="150" t="n">
        <x:f>AVERAGEIF($C$13:$C$32,A37,$G$13:$G$32)</x:f>
        <x:v>0.005727995175581697</x:v>
      </x:c>
      <x:c r="G37" s="146"/>
      <x:c r="H37" s="146"/>
      <x:c r="I37" s="146"/>
      <x:c r="J37" s="146"/>
      <x:c r="K37" s="146"/>
      <x:c r="L37" s="146"/>
      <x:c r="M37" s="146"/>
      <x:c r="N37" s="146"/>
    </x:row>
    <x:row r="38">
      <x:c r="A38" s="151" t="str">
        <x:v>operation</x:v>
      </x:c>
      <x:c r="B38" s="151" t="n">
        <x:f>COUNTIF($C$13:$C$32,A38)</x:f>
        <x:v>6</x:v>
      </x:c>
      <x:c r="C38" s="152" t="n">
        <x:f>AVERAGEIF($C$13:$C$32,A38,$F$13:$F$32)</x:f>
        <x:v>0.8019333333333333</x:v>
      </x:c>
      <x:c r="D38" s="152" t="n">
        <x:f>AVERAGEIF($C$13:$C$32,A38,$E$13:$E$32)</x:f>
        <x:v>0.8276240428288778</x:v>
      </x:c>
      <x:c r="E38" s="152" t="n">
        <x:f>AVERAGEIF($C$13:$C$32,A38,$H$13:$H$32)</x:f>
        <x:v>0.025690709495544455</x:v>
      </x:c>
      <x:c r="F38" s="152" t="n">
        <x:f>AVERAGEIF($C$13:$C$32,A38,$G$13:$G$32)</x:f>
        <x:v>0.025690709495544455</x:v>
      </x:c>
      <x:c r="G38" s="146"/>
      <x:c r="H38" s="146"/>
      <x:c r="I38" s="146"/>
      <x:c r="J38" s="146"/>
      <x:c r="K38" s="146"/>
      <x:c r="L38" s="146"/>
      <x:c r="M38" s="146"/>
      <x:c r="N38" s="146"/>
    </x:row>
    <x:row r="39">
      <x:c r="A39" s="151" t="str">
        <x:v>identity</x:v>
      </x:c>
      <x:c r="B39" s="151" t="n">
        <x:f>COUNTIF($C$13:$C$32,A39)</x:f>
        <x:v>1</x:v>
      </x:c>
      <x:c r="C39" s="152" t="n">
        <x:f>AVERAGEIF($C$13:$C$32,A39,$F$13:$F$32)</x:f>
        <x:v>0.8192</x:v>
      </x:c>
      <x:c r="D39" s="152" t="n">
        <x:f>AVERAGEIF($C$13:$C$32,A39,$E$13:$E$32)</x:f>
        <x:v>0.8153336048126221</x:v>
      </x:c>
      <x:c r="E39" s="152" t="n">
        <x:f>AVERAGEIF($C$13:$C$32,A39,$H$13:$H$32)</x:f>
        <x:v>0.003866395187377969</x:v>
      </x:c>
      <x:c r="F39" s="152" t="n">
        <x:f>AVERAGEIF($C$13:$C$32,A39,$G$13:$G$32)</x:f>
        <x:v>-0.003866395187377969</x:v>
      </x:c>
      <x:c r="G39" s="146"/>
      <x:c r="H39" s="146"/>
      <x:c r="I39" s="146"/>
      <x:c r="J39" s="146"/>
      <x:c r="K39" s="146"/>
      <x:c r="L39" s="146"/>
      <x:c r="M39" s="146"/>
      <x:c r="N39" s="146"/>
    </x:row>
  </x:sheetData>
  <x:mergeCells>
    <x:mergeCell ref="A1:N2"/>
    <x:mergeCell ref="A3:N3"/>
    <x:mergeCell ref="A35:F35"/>
  </x:mergeCells>
  <x:conditionalFormatting sqref="H13:H32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  <x:drawing xmlns:r="http://schemas.openxmlformats.org/officeDocument/2006/relationships" r:id="R02629e65bc454f69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0" hidden="0" customWidth="1"/>
    <x:col min="4" max="4" width="2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0" hidden="0" customWidth="1"/>
    <x:col min="10" max="10" width="14" hidden="0" customWidth="1"/>
  </x:cols>
  <x:sheetData>
    <x:row r="1">
      <x:c r="A1" s="115" t="str">
        <x:v>Matched initialization audit</x:v>
      </x:c>
      <x:c r="B1" s="146"/>
      <x:c r="C1" s="146"/>
      <x:c r="D1" s="146"/>
      <x:c r="E1" s="146"/>
      <x:c r="F1" s="146"/>
      <x:c r="G1" s="146"/>
      <x:c r="H1" s="146"/>
      <x:c r="I1" s="146"/>
      <x:c r="J1" s="146"/>
    </x:row>
    <x:row r="2">
      <x:c r="A2" s="146"/>
      <x:c r="B2" s="146"/>
      <x:c r="C2" s="146"/>
      <x:c r="D2" s="146"/>
      <x:c r="E2" s="146"/>
      <x:c r="F2" s="146"/>
      <x:c r="G2" s="146"/>
      <x:c r="H2" s="146"/>
      <x:c r="I2" s="146"/>
      <x:c r="J2" s="146"/>
    </x:row>
    <x:row r="3">
      <x:c r="A3" s="170" t="str">
        <x:v>Core matching passed for architecture and training seed (40/40 each). Accuracy equality is diagnostic and exposes non-bitwise-deterministic GPU training.</x:v>
      </x:c>
      <x:c r="B3" s="146"/>
      <x:c r="C3" s="146"/>
      <x:c r="D3" s="146"/>
      <x:c r="E3" s="146"/>
      <x:c r="F3" s="146"/>
      <x:c r="G3" s="146"/>
      <x:c r="H3" s="146"/>
      <x:c r="I3" s="146"/>
      <x:c r="J3" s="146"/>
    </x:row>
    <x:row r="4">
      <x:c r="A4" s="146"/>
      <x:c r="B4" s="146"/>
      <x:c r="C4" s="146"/>
      <x:c r="D4" s="146"/>
      <x:c r="E4" s="146"/>
      <x:c r="F4" s="146"/>
      <x:c r="G4" s="146"/>
      <x:c r="H4" s="146"/>
      <x:c r="I4" s="146"/>
      <x:c r="J4" s="146"/>
    </x:row>
    <x:row r="5">
      <x:c r="A5" s="133" t="str">
        <x:v>Seed</x:v>
      </x:c>
      <x:c r="B5" s="134" t="str">
        <x:v>Architecture matches</x:v>
      </x:c>
      <x:c r="C5" s="134" t="str">
        <x:v>Training-seed matches</x:v>
      </x:c>
      <x:c r="D5" s="134" t="str">
        <x:v>Exact accuracy matches</x:v>
      </x:c>
      <x:c r="E5" s="134" t="str">
        <x:v>Accuracy MAE</x:v>
      </x:c>
      <x:c r="F5" s="134" t="str">
        <x:v>Accuracy RMSE</x:v>
      </x:c>
      <x:c r="G5" s="134" t="str">
        <x:v>Signed mean</x:v>
      </x:c>
      <x:c r="H5" s="134" t="str">
        <x:v>Max abs delta</x:v>
      </x:c>
      <x:c r="I5" s="134" t="str">
        <x:v>SA higher / RE higher / equal</x:v>
      </x:c>
      <x:c r="J5" s="135" t="str">
        <x:v>Core result</x:v>
      </x:c>
    </x:row>
    <x:row r="6">
      <x:c r="A6" s="149" t="n">
        <x:v>2701</x:v>
      </x:c>
      <x:c r="B6" s="149" t="n">
        <x:v>20</x:v>
      </x:c>
      <x:c r="C6" s="149" t="n">
        <x:v>20</x:v>
      </x:c>
      <x:c r="D6" s="149" t="n">
        <x:v>12</x:v>
      </x:c>
      <x:c r="E6" s="150" t="n">
        <x:v>0.004649999999999999</x:v>
      </x:c>
      <x:c r="F6" s="150" t="n">
        <x:v>0.011005180598245533</x:v>
      </x:c>
      <x:c r="G6" s="150" t="n">
        <x:v>0.002770000000000006</x:v>
      </x:c>
      <x:c r="H6" s="150" t="n">
        <x:v>0.04379999999999995</x:v>
      </x:c>
      <x:c r="I6" s="149" t="str">
        <x:v>5 / 3 / 12</x:v>
      </x:c>
      <x:c r="J6" s="175" t="str">
        <x:v>PASS</x:v>
      </x:c>
    </x:row>
    <x:row r="7">
      <x:c r="A7" s="151" t="n">
        <x:v>2702</x:v>
      </x:c>
      <x:c r="B7" s="151" t="n">
        <x:v>20</x:v>
      </x:c>
      <x:c r="C7" s="151" t="n">
        <x:v>20</x:v>
      </x:c>
      <x:c r="D7" s="151" t="n">
        <x:v>6</x:v>
      </x:c>
      <x:c r="E7" s="152" t="n">
        <x:v>0.0068699999999999985</x:v>
      </x:c>
      <x:c r="F7" s="152" t="n">
        <x:v>0.00966012422280377</x:v>
      </x:c>
      <x:c r="G7" s="152" t="n">
        <x:v>0.0009500000000000175</x:v>
      </x:c>
      <x:c r="H7" s="152" t="n">
        <x:v>0.022600000000000064</x:v>
      </x:c>
      <x:c r="I7" s="151" t="str">
        <x:v>7 / 7 / 6</x:v>
      </x:c>
      <x:c r="J7" s="176" t="str">
        <x:v>PASS</x:v>
      </x:c>
    </x:row>
    <x:row r="8">
      <x:c r="A8" s="151" t="str">
        <x:v>Combined</x:v>
      </x:c>
      <x:c r="B8" s="151" t="n">
        <x:v>40</x:v>
      </x:c>
      <x:c r="C8" s="151" t="n">
        <x:v>40</x:v>
      </x:c>
      <x:c r="D8" s="151" t="n">
        <x:v>18</x:v>
      </x:c>
      <x:c r="E8" s="152" t="n">
        <x:v>0.005759999999999999</x:v>
      </x:c>
      <x:c r="F8" s="152" t="n">
        <x:v>0.010354515923016392</x:v>
      </x:c>
      <x:c r="G8" s="152" t="n">
        <x:v>0.0018600000000000116</x:v>
      </x:c>
      <x:c r="H8" s="152" t="n">
        <x:v>0.04379999999999995</x:v>
      </x:c>
      <x:c r="I8" s="151" t="str">
        <x:v>12 / 10 / 18</x:v>
      </x:c>
      <x:c r="J8" s="176" t="str">
        <x:v>PASS</x:v>
      </x:c>
    </x:row>
    <x:row r="9">
      <x:c r="A9" s="146"/>
      <x:c r="B9" s="146"/>
      <x:c r="C9" s="146"/>
      <x:c r="D9" s="146"/>
      <x:c r="E9" s="146"/>
      <x:c r="F9" s="146"/>
      <x:c r="G9" s="146"/>
      <x:c r="H9" s="146"/>
      <x:c r="I9" s="146"/>
      <x:c r="J9" s="146"/>
    </x:row>
    <x:row r="10">
      <x:c r="A10" s="146"/>
      <x:c r="B10" s="146"/>
      <x:c r="C10" s="146"/>
      <x:c r="D10" s="146"/>
      <x:c r="E10" s="146"/>
      <x:c r="F10" s="146"/>
      <x:c r="G10" s="146"/>
      <x:c r="H10" s="146"/>
      <x:c r="I10" s="146"/>
      <x:c r="J10" s="146"/>
    </x:row>
    <x:row r="11">
      <x:c r="A11" s="146"/>
      <x:c r="B11" s="146"/>
      <x:c r="C11" s="146"/>
      <x:c r="D11" s="146"/>
      <x:c r="E11" s="146"/>
      <x:c r="F11" s="146"/>
      <x:c r="G11" s="146"/>
      <x:c r="H11" s="146"/>
      <x:c r="I11" s="146"/>
      <x:c r="J11" s="146"/>
    </x:row>
    <x:row r="12">
      <x:c r="A12" s="133" t="str">
        <x:v>Seed</x:v>
      </x:c>
      <x:c r="B12" s="134" t="str">
        <x:v>Eval</x:v>
      </x:c>
      <x:c r="C12" s="134" t="str">
        <x:v>Architecture equal</x:v>
      </x:c>
      <x:c r="D12" s="134" t="str">
        <x:v>Training seed equal</x:v>
      </x:c>
      <x:c r="E12" s="134" t="str">
        <x:v>RE accuracy</x:v>
      </x:c>
      <x:c r="F12" s="134" t="str">
        <x:v>SA-RE accuracy</x:v>
      </x:c>
      <x:c r="G12" s="134" t="str">
        <x:v>Signed delta</x:v>
      </x:c>
      <x:c r="H12" s="134" t="str">
        <x:v>Absolute delta</x:v>
      </x:c>
      <x:c r="I12" s="135" t="str">
        <x:v>Exact accuracy equal</x:v>
      </x:c>
      <x:c r="J12" s="146"/>
    </x:row>
    <x:row r="13">
      <x:c r="A13" s="149" t="n">
        <x:v>2701</x:v>
      </x:c>
      <x:c r="B13" s="149" t="n">
        <x:v>1</x:v>
      </x:c>
      <x:c r="C13" s="149" t="b">
        <x:f>'Raw Evaluations'!$G$2='Raw Evaluations'!$G$32</x:f>
        <x:v>1</x:v>
      </x:c>
      <x:c r="D13" s="149" t="b">
        <x:f>'Raw Evaluations'!$C$2='Raw Evaluations'!$C$32</x:f>
        <x:v>1</x:v>
      </x:c>
      <x:c r="E13" s="150" t="n">
        <x:f>'Raw Evaluations'!$K$2</x:f>
        <x:v>0.7066</x:v>
      </x:c>
      <x:c r="F13" s="150" t="n">
        <x:f>'Raw Evaluations'!$K$32</x:f>
        <x:v>0.7114</x:v>
      </x:c>
      <x:c r="G13" s="150" t="n">
        <x:f>F13-E13</x:f>
        <x:v>0.0048000000000000265</x:v>
      </x:c>
      <x:c r="H13" s="150" t="n">
        <x:f>ABS(G13)</x:f>
        <x:v>0.0048000000000000265</x:v>
      </x:c>
      <x:c r="I13" s="149" t="b">
        <x:f>H13=0</x:f>
        <x:v>0</x:v>
      </x:c>
      <x:c r="J13" s="146"/>
    </x:row>
    <x:row r="14">
      <x:c r="A14" s="151" t="n">
        <x:v>2701</x:v>
      </x:c>
      <x:c r="B14" s="151" t="n">
        <x:v>2</x:v>
      </x:c>
      <x:c r="C14" s="151" t="b">
        <x:f>'Raw Evaluations'!$G$3='Raw Evaluations'!$G$33</x:f>
        <x:v>1</x:v>
      </x:c>
      <x:c r="D14" s="151" t="b">
        <x:f>'Raw Evaluations'!$C$3='Raw Evaluations'!$C$33</x:f>
        <x:v>1</x:v>
      </x:c>
      <x:c r="E14" s="152" t="n">
        <x:f>'Raw Evaluations'!$K$3</x:f>
        <x:v>0.7572</x:v>
      </x:c>
      <x:c r="F14" s="152" t="n">
        <x:f>'Raw Evaluations'!$K$33</x:f>
        <x:v>0.7572</x:v>
      </x:c>
      <x:c r="G14" s="152" t="n">
        <x:f>F14-E14</x:f>
        <x:v>0</x:v>
      </x:c>
      <x:c r="H14" s="152" t="n">
        <x:f>ABS(G14)</x:f>
        <x:v>0</x:v>
      </x:c>
      <x:c r="I14" s="151" t="b">
        <x:f>H14=0</x:f>
        <x:v>1</x:v>
      </x:c>
      <x:c r="J14" s="146"/>
    </x:row>
    <x:row r="15">
      <x:c r="A15" s="151" t="n">
        <x:v>2701</x:v>
      </x:c>
      <x:c r="B15" s="151" t="n">
        <x:v>3</x:v>
      </x:c>
      <x:c r="C15" s="151" t="b">
        <x:f>'Raw Evaluations'!$G$4='Raw Evaluations'!$G$34</x:f>
        <x:v>1</x:v>
      </x:c>
      <x:c r="D15" s="151" t="b">
        <x:f>'Raw Evaluations'!$C$4='Raw Evaluations'!$C$34</x:f>
        <x:v>1</x:v>
      </x:c>
      <x:c r="E15" s="152" t="n">
        <x:f>'Raw Evaluations'!$K$4</x:f>
        <x:v>0.6988</x:v>
      </x:c>
      <x:c r="F15" s="152" t="n">
        <x:f>'Raw Evaluations'!$K$34</x:f>
        <x:v>0.6998</x:v>
      </x:c>
      <x:c r="G15" s="152" t="n">
        <x:f>F15-E15</x:f>
        <x:v>0.0010000000000000009</x:v>
      </x:c>
      <x:c r="H15" s="152" t="n">
        <x:f>ABS(G15)</x:f>
        <x:v>0.0010000000000000009</x:v>
      </x:c>
      <x:c r="I15" s="151" t="b">
        <x:f>H15=0</x:f>
        <x:v>0</x:v>
      </x:c>
      <x:c r="J15" s="146"/>
    </x:row>
    <x:row r="16">
      <x:c r="A16" s="151" t="n">
        <x:v>2701</x:v>
      </x:c>
      <x:c r="B16" s="151" t="n">
        <x:v>4</x:v>
      </x:c>
      <x:c r="C16" s="151" t="b">
        <x:f>'Raw Evaluations'!$G$5='Raw Evaluations'!$G$35</x:f>
        <x:v>1</x:v>
      </x:c>
      <x:c r="D16" s="151" t="b">
        <x:f>'Raw Evaluations'!$C$5='Raw Evaluations'!$C$35</x:f>
        <x:v>1</x:v>
      </x:c>
      <x:c r="E16" s="152" t="n">
        <x:f>'Raw Evaluations'!$K$5</x:f>
        <x:v>0.7056</x:v>
      </x:c>
      <x:c r="F16" s="152" t="n">
        <x:f>'Raw Evaluations'!$K$35</x:f>
        <x:v>0.7056</x:v>
      </x:c>
      <x:c r="G16" s="152" t="n">
        <x:f>F16-E16</x:f>
        <x:v>0</x:v>
      </x:c>
      <x:c r="H16" s="152" t="n">
        <x:f>ABS(G16)</x:f>
        <x:v>0</x:v>
      </x:c>
      <x:c r="I16" s="151" t="b">
        <x:f>H16=0</x:f>
        <x:v>1</x:v>
      </x:c>
      <x:c r="J16" s="146"/>
    </x:row>
    <x:row r="17">
      <x:c r="A17" s="151" t="n">
        <x:v>2701</x:v>
      </x:c>
      <x:c r="B17" s="151" t="n">
        <x:v>5</x:v>
      </x:c>
      <x:c r="C17" s="151" t="b">
        <x:f>'Raw Evaluations'!$G$6='Raw Evaluations'!$G$36</x:f>
        <x:v>1</x:v>
      </x:c>
      <x:c r="D17" s="151" t="b">
        <x:f>'Raw Evaluations'!$C$6='Raw Evaluations'!$C$36</x:f>
        <x:v>1</x:v>
      </x:c>
      <x:c r="E17" s="152" t="n">
        <x:f>'Raw Evaluations'!$K$6</x:f>
        <x:v>0.8146</x:v>
      </x:c>
      <x:c r="F17" s="152" t="n">
        <x:f>'Raw Evaluations'!$K$36</x:f>
        <x:v>0.8146</x:v>
      </x:c>
      <x:c r="G17" s="152" t="n">
        <x:f>F17-E17</x:f>
        <x:v>0</x:v>
      </x:c>
      <x:c r="H17" s="152" t="n">
        <x:f>ABS(G17)</x:f>
        <x:v>0</x:v>
      </x:c>
      <x:c r="I17" s="151" t="b">
        <x:f>H17=0</x:f>
        <x:v>1</x:v>
      </x:c>
      <x:c r="J17" s="146"/>
    </x:row>
    <x:row r="18">
      <x:c r="A18" s="151" t="n">
        <x:v>2701</x:v>
      </x:c>
      <x:c r="B18" s="151" t="n">
        <x:v>6</x:v>
      </x:c>
      <x:c r="C18" s="151" t="b">
        <x:f>'Raw Evaluations'!$G$7='Raw Evaluations'!$G$37</x:f>
        <x:v>1</x:v>
      </x:c>
      <x:c r="D18" s="151" t="b">
        <x:f>'Raw Evaluations'!$C$7='Raw Evaluations'!$C$37</x:f>
        <x:v>1</x:v>
      </x:c>
      <x:c r="E18" s="152" t="n">
        <x:f>'Raw Evaluations'!$K$7</x:f>
        <x:v>0.768</x:v>
      </x:c>
      <x:c r="F18" s="152" t="n">
        <x:f>'Raw Evaluations'!$K$37</x:f>
        <x:v>0.768</x:v>
      </x:c>
      <x:c r="G18" s="152" t="n">
        <x:f>F18-E18</x:f>
        <x:v>0</x:v>
      </x:c>
      <x:c r="H18" s="152" t="n">
        <x:f>ABS(G18)</x:f>
        <x:v>0</x:v>
      </x:c>
      <x:c r="I18" s="151" t="b">
        <x:f>H18=0</x:f>
        <x:v>1</x:v>
      </x:c>
      <x:c r="J18" s="146"/>
    </x:row>
    <x:row r="19">
      <x:c r="A19" s="151" t="n">
        <x:v>2701</x:v>
      </x:c>
      <x:c r="B19" s="151" t="n">
        <x:v>7</x:v>
      </x:c>
      <x:c r="C19" s="151" t="b">
        <x:f>'Raw Evaluations'!$G$8='Raw Evaluations'!$G$38</x:f>
        <x:v>1</x:v>
      </x:c>
      <x:c r="D19" s="151" t="b">
        <x:f>'Raw Evaluations'!$C$8='Raw Evaluations'!$C$38</x:f>
        <x:v>1</x:v>
      </x:c>
      <x:c r="E19" s="152" t="n">
        <x:f>'Raw Evaluations'!$K$8</x:f>
        <x:v>0.8284</x:v>
      </x:c>
      <x:c r="F19" s="152" t="n">
        <x:f>'Raw Evaluations'!$K$38</x:f>
        <x:v>0.8284</x:v>
      </x:c>
      <x:c r="G19" s="152" t="n">
        <x:f>F19-E19</x:f>
        <x:v>0</x:v>
      </x:c>
      <x:c r="H19" s="152" t="n">
        <x:f>ABS(G19)</x:f>
        <x:v>0</x:v>
      </x:c>
      <x:c r="I19" s="151" t="b">
        <x:f>H19=0</x:f>
        <x:v>1</x:v>
      </x:c>
      <x:c r="J19" s="146"/>
    </x:row>
    <x:row r="20">
      <x:c r="A20" s="151" t="n">
        <x:v>2701</x:v>
      </x:c>
      <x:c r="B20" s="151" t="n">
        <x:v>8</x:v>
      </x:c>
      <x:c r="C20" s="151" t="b">
        <x:f>'Raw Evaluations'!$G$9='Raw Evaluations'!$G$39</x:f>
        <x:v>1</x:v>
      </x:c>
      <x:c r="D20" s="151" t="b">
        <x:f>'Raw Evaluations'!$C$9='Raw Evaluations'!$C$39</x:f>
        <x:v>1</x:v>
      </x:c>
      <x:c r="E20" s="152" t="n">
        <x:f>'Raw Evaluations'!$K$9</x:f>
        <x:v>0.6672</x:v>
      </x:c>
      <x:c r="F20" s="152" t="n">
        <x:f>'Raw Evaluations'!$K$39</x:f>
        <x:v>0.711</x:v>
      </x:c>
      <x:c r="G20" s="152" t="n">
        <x:f>F20-E20</x:f>
        <x:v>0.04379999999999995</x:v>
      </x:c>
      <x:c r="H20" s="152" t="n">
        <x:f>ABS(G20)</x:f>
        <x:v>0.04379999999999995</x:v>
      </x:c>
      <x:c r="I20" s="151" t="b">
        <x:f>H20=0</x:f>
        <x:v>0</x:v>
      </x:c>
      <x:c r="J20" s="146"/>
    </x:row>
    <x:row r="21">
      <x:c r="A21" s="151" t="n">
        <x:v>2701</x:v>
      </x:c>
      <x:c r="B21" s="151" t="n">
        <x:v>9</x:v>
      </x:c>
      <x:c r="C21" s="151" t="b">
        <x:f>'Raw Evaluations'!$G$10='Raw Evaluations'!$G$40</x:f>
        <x:v>1</x:v>
      </x:c>
      <x:c r="D21" s="151" t="b">
        <x:f>'Raw Evaluations'!$C$10='Raw Evaluations'!$C$40</x:f>
        <x:v>1</x:v>
      </x:c>
      <x:c r="E21" s="152" t="n">
        <x:f>'Raw Evaluations'!$K$10</x:f>
        <x:v>0.7226</x:v>
      </x:c>
      <x:c r="F21" s="152" t="n">
        <x:f>'Raw Evaluations'!$K$40</x:f>
        <x:v>0.7226</x:v>
      </x:c>
      <x:c r="G21" s="152" t="n">
        <x:f>F21-E21</x:f>
        <x:v>0</x:v>
      </x:c>
      <x:c r="H21" s="152" t="n">
        <x:f>ABS(G21)</x:f>
        <x:v>0</x:v>
      </x:c>
      <x:c r="I21" s="151" t="b">
        <x:f>H21=0</x:f>
        <x:v>1</x:v>
      </x:c>
      <x:c r="J21" s="146"/>
    </x:row>
    <x:row r="22">
      <x:c r="A22" s="151" t="n">
        <x:v>2701</x:v>
      </x:c>
      <x:c r="B22" s="151" t="n">
        <x:v>10</x:v>
      </x:c>
      <x:c r="C22" s="151" t="b">
        <x:f>'Raw Evaluations'!$G$11='Raw Evaluations'!$G$41</x:f>
        <x:v>1</x:v>
      </x:c>
      <x:c r="D22" s="151" t="b">
        <x:f>'Raw Evaluations'!$C$11='Raw Evaluations'!$C$41</x:f>
        <x:v>1</x:v>
      </x:c>
      <x:c r="E22" s="152" t="n">
        <x:f>'Raw Evaluations'!$K$11</x:f>
        <x:v>0.809</x:v>
      </x:c>
      <x:c r="F22" s="152" t="n">
        <x:f>'Raw Evaluations'!$K$41</x:f>
        <x:v>0.809</x:v>
      </x:c>
      <x:c r="G22" s="152" t="n">
        <x:f>F22-E22</x:f>
        <x:v>0</x:v>
      </x:c>
      <x:c r="H22" s="152" t="n">
        <x:f>ABS(G22)</x:f>
        <x:v>0</x:v>
      </x:c>
      <x:c r="I22" s="151" t="b">
        <x:f>H22=0</x:f>
        <x:v>1</x:v>
      </x:c>
      <x:c r="J22" s="146"/>
    </x:row>
    <x:row r="23">
      <x:c r="A23" s="151" t="n">
        <x:v>2701</x:v>
      </x:c>
      <x:c r="B23" s="151" t="n">
        <x:v>11</x:v>
      </x:c>
      <x:c r="C23" s="151" t="b">
        <x:f>'Raw Evaluations'!$G$12='Raw Evaluations'!$G$42</x:f>
        <x:v>1</x:v>
      </x:c>
      <x:c r="D23" s="151" t="b">
        <x:f>'Raw Evaluations'!$C$12='Raw Evaluations'!$C$42</x:f>
        <x:v>1</x:v>
      </x:c>
      <x:c r="E23" s="152" t="n">
        <x:f>'Raw Evaluations'!$K$12</x:f>
        <x:v>0.7654</x:v>
      </x:c>
      <x:c r="F23" s="152" t="n">
        <x:f>'Raw Evaluations'!$K$42</x:f>
        <x:v>0.7788</x:v>
      </x:c>
      <x:c r="G23" s="152" t="n">
        <x:f>F23-E23</x:f>
        <x:v>0.013400000000000079</x:v>
      </x:c>
      <x:c r="H23" s="152" t="n">
        <x:f>ABS(G23)</x:f>
        <x:v>0.013400000000000079</x:v>
      </x:c>
      <x:c r="I23" s="151" t="b">
        <x:f>H23=0</x:f>
        <x:v>0</x:v>
      </x:c>
      <x:c r="J23" s="146"/>
    </x:row>
    <x:row r="24">
      <x:c r="A24" s="151" t="n">
        <x:v>2701</x:v>
      </x:c>
      <x:c r="B24" s="151" t="n">
        <x:v>12</x:v>
      </x:c>
      <x:c r="C24" s="151" t="b">
        <x:f>'Raw Evaluations'!$G$13='Raw Evaluations'!$G$43</x:f>
        <x:v>1</x:v>
      </x:c>
      <x:c r="D24" s="151" t="b">
        <x:f>'Raw Evaluations'!$C$13='Raw Evaluations'!$C$43</x:f>
        <x:v>1</x:v>
      </x:c>
      <x:c r="E24" s="152" t="n">
        <x:f>'Raw Evaluations'!$K$13</x:f>
        <x:v>0.7112</x:v>
      </x:c>
      <x:c r="F24" s="152" t="n">
        <x:f>'Raw Evaluations'!$K$43</x:f>
        <x:v>0.7224</x:v>
      </x:c>
      <x:c r="G24" s="152" t="n">
        <x:f>F24-E24</x:f>
        <x:v>0.011199999999999988</x:v>
      </x:c>
      <x:c r="H24" s="152" t="n">
        <x:f>ABS(G24)</x:f>
        <x:v>0.011199999999999988</x:v>
      </x:c>
      <x:c r="I24" s="151" t="b">
        <x:f>H24=0</x:f>
        <x:v>0</x:v>
      </x:c>
      <x:c r="J24" s="146"/>
    </x:row>
    <x:row r="25">
      <x:c r="A25" s="151" t="n">
        <x:v>2701</x:v>
      </x:c>
      <x:c r="B25" s="151" t="n">
        <x:v>13</x:v>
      </x:c>
      <x:c r="C25" s="151" t="b">
        <x:f>'Raw Evaluations'!$G$14='Raw Evaluations'!$G$44</x:f>
        <x:v>1</x:v>
      </x:c>
      <x:c r="D25" s="151" t="b">
        <x:f>'Raw Evaluations'!$C$14='Raw Evaluations'!$C$44</x:f>
        <x:v>1</x:v>
      </x:c>
      <x:c r="E25" s="152" t="n">
        <x:f>'Raw Evaluations'!$K$14</x:f>
        <x:v>0.7554</x:v>
      </x:c>
      <x:c r="F25" s="152" t="n">
        <x:f>'Raw Evaluations'!$K$44</x:f>
        <x:v>0.7442</x:v>
      </x:c>
      <x:c r="G25" s="152" t="n">
        <x:f>F25-E25</x:f>
        <x:v>-0.011199999999999988</x:v>
      </x:c>
      <x:c r="H25" s="152" t="n">
        <x:f>ABS(G25)</x:f>
        <x:v>0.011199999999999988</x:v>
      </x:c>
      <x:c r="I25" s="151" t="b">
        <x:f>H25=0</x:f>
        <x:v>0</x:v>
      </x:c>
      <x:c r="J25" s="146"/>
    </x:row>
    <x:row r="26">
      <x:c r="A26" s="151" t="n">
        <x:v>2701</x:v>
      </x:c>
      <x:c r="B26" s="151" t="n">
        <x:v>14</x:v>
      </x:c>
      <x:c r="C26" s="151" t="b">
        <x:f>'Raw Evaluations'!$G$15='Raw Evaluations'!$G$45</x:f>
        <x:v>1</x:v>
      </x:c>
      <x:c r="D26" s="151" t="b">
        <x:f>'Raw Evaluations'!$C$15='Raw Evaluations'!$C$45</x:f>
        <x:v>1</x:v>
      </x:c>
      <x:c r="E26" s="152" t="n">
        <x:f>'Raw Evaluations'!$K$15</x:f>
        <x:v>0.819</x:v>
      </x:c>
      <x:c r="F26" s="152" t="n">
        <x:f>'Raw Evaluations'!$K$45</x:f>
        <x:v>0.8184</x:v>
      </x:c>
      <x:c r="G26" s="152" t="n">
        <x:f>F26-E26</x:f>
        <x:v>-0.0005999999999999339</x:v>
      </x:c>
      <x:c r="H26" s="152" t="n">
        <x:f>ABS(G26)</x:f>
        <x:v>0.0005999999999999339</x:v>
      </x:c>
      <x:c r="I26" s="151" t="b">
        <x:f>H26=0</x:f>
        <x:v>0</x:v>
      </x:c>
      <x:c r="J26" s="146"/>
    </x:row>
    <x:row r="27">
      <x:c r="A27" s="151" t="n">
        <x:v>2701</x:v>
      </x:c>
      <x:c r="B27" s="151" t="n">
        <x:v>15</x:v>
      </x:c>
      <x:c r="C27" s="151" t="b">
        <x:f>'Raw Evaluations'!$G$16='Raw Evaluations'!$G$46</x:f>
        <x:v>1</x:v>
      </x:c>
      <x:c r="D27" s="151" t="b">
        <x:f>'Raw Evaluations'!$C$16='Raw Evaluations'!$C$46</x:f>
        <x:v>1</x:v>
      </x:c>
      <x:c r="E27" s="152" t="n">
        <x:f>'Raw Evaluations'!$K$16</x:f>
        <x:v>0.6932</x:v>
      </x:c>
      <x:c r="F27" s="152" t="n">
        <x:f>'Raw Evaluations'!$K$46</x:f>
        <x:v>0.6932</x:v>
      </x:c>
      <x:c r="G27" s="152" t="n">
        <x:f>F27-E27</x:f>
        <x:v>0</x:v>
      </x:c>
      <x:c r="H27" s="152" t="n">
        <x:f>ABS(G27)</x:f>
        <x:v>0</x:v>
      </x:c>
      <x:c r="I27" s="151" t="b">
        <x:f>H27=0</x:f>
        <x:v>1</x:v>
      </x:c>
      <x:c r="J27" s="146"/>
    </x:row>
    <x:row r="28">
      <x:c r="A28" s="151" t="n">
        <x:v>2701</x:v>
      </x:c>
      <x:c r="B28" s="151" t="n">
        <x:v>16</x:v>
      </x:c>
      <x:c r="C28" s="151" t="b">
        <x:f>'Raw Evaluations'!$G$17='Raw Evaluations'!$G$47</x:f>
        <x:v>1</x:v>
      </x:c>
      <x:c r="D28" s="151" t="b">
        <x:f>'Raw Evaluations'!$C$17='Raw Evaluations'!$C$47</x:f>
        <x:v>1</x:v>
      </x:c>
      <x:c r="E28" s="152" t="n">
        <x:f>'Raw Evaluations'!$K$17</x:f>
        <x:v>0.7486</x:v>
      </x:c>
      <x:c r="F28" s="152" t="n">
        <x:f>'Raw Evaluations'!$K$47</x:f>
        <x:v>0.7486</x:v>
      </x:c>
      <x:c r="G28" s="152" t="n">
        <x:f>F28-E28</x:f>
        <x:v>0</x:v>
      </x:c>
      <x:c r="H28" s="152" t="n">
        <x:f>ABS(G28)</x:f>
        <x:v>0</x:v>
      </x:c>
      <x:c r="I28" s="151" t="b">
        <x:f>H28=0</x:f>
        <x:v>1</x:v>
      </x:c>
      <x:c r="J28" s="146"/>
    </x:row>
    <x:row r="29">
      <x:c r="A29" s="151" t="n">
        <x:v>2701</x:v>
      </x:c>
      <x:c r="B29" s="151" t="n">
        <x:v>17</x:v>
      </x:c>
      <x:c r="C29" s="151" t="b">
        <x:f>'Raw Evaluations'!$G$18='Raw Evaluations'!$G$48</x:f>
        <x:v>1</x:v>
      </x:c>
      <x:c r="D29" s="151" t="b">
        <x:f>'Raw Evaluations'!$C$18='Raw Evaluations'!$C$48</x:f>
        <x:v>1</x:v>
      </x:c>
      <x:c r="E29" s="152" t="n">
        <x:f>'Raw Evaluations'!$K$18</x:f>
        <x:v>0.822</x:v>
      </x:c>
      <x:c r="F29" s="152" t="n">
        <x:f>'Raw Evaluations'!$K$48</x:f>
        <x:v>0.822</x:v>
      </x:c>
      <x:c r="G29" s="152" t="n">
        <x:f>F29-E29</x:f>
        <x:v>0</x:v>
      </x:c>
      <x:c r="H29" s="152" t="n">
        <x:f>ABS(G29)</x:f>
        <x:v>0</x:v>
      </x:c>
      <x:c r="I29" s="151" t="b">
        <x:f>H29=0</x:f>
        <x:v>1</x:v>
      </x:c>
      <x:c r="J29" s="146"/>
    </x:row>
    <x:row r="30">
      <x:c r="A30" s="151" t="n">
        <x:v>2701</x:v>
      </x:c>
      <x:c r="B30" s="151" t="n">
        <x:v>18</x:v>
      </x:c>
      <x:c r="C30" s="151" t="b">
        <x:f>'Raw Evaluations'!$G$19='Raw Evaluations'!$G$49</x:f>
        <x:v>1</x:v>
      </x:c>
      <x:c r="D30" s="151" t="b">
        <x:f>'Raw Evaluations'!$C$19='Raw Evaluations'!$C$49</x:f>
        <x:v>1</x:v>
      </x:c>
      <x:c r="E30" s="152" t="n">
        <x:f>'Raw Evaluations'!$K$19</x:f>
        <x:v>0.764</x:v>
      </x:c>
      <x:c r="F30" s="152" t="n">
        <x:f>'Raw Evaluations'!$K$49</x:f>
        <x:v>0.757</x:v>
      </x:c>
      <x:c r="G30" s="152" t="n">
        <x:f>F30-E30</x:f>
        <x:v>-0.007000000000000006</x:v>
      </x:c>
      <x:c r="H30" s="152" t="n">
        <x:f>ABS(G30)</x:f>
        <x:v>0.007000000000000006</x:v>
      </x:c>
      <x:c r="I30" s="151" t="b">
        <x:f>H30=0</x:f>
        <x:v>0</x:v>
      </x:c>
      <x:c r="J30" s="146"/>
    </x:row>
    <x:row r="31">
      <x:c r="A31" s="151" t="n">
        <x:v>2701</x:v>
      </x:c>
      <x:c r="B31" s="151" t="n">
        <x:v>19</x:v>
      </x:c>
      <x:c r="C31" s="151" t="b">
        <x:f>'Raw Evaluations'!$G$20='Raw Evaluations'!$G$50</x:f>
        <x:v>1</x:v>
      </x:c>
      <x:c r="D31" s="151" t="b">
        <x:f>'Raw Evaluations'!$C$20='Raw Evaluations'!$C$50</x:f>
        <x:v>1</x:v>
      </x:c>
      <x:c r="E31" s="152" t="n">
        <x:f>'Raw Evaluations'!$K$20</x:f>
        <x:v>0.7586</x:v>
      </x:c>
      <x:c r="F31" s="152" t="n">
        <x:f>'Raw Evaluations'!$K$50</x:f>
        <x:v>0.7586</x:v>
      </x:c>
      <x:c r="G31" s="152" t="n">
        <x:f>F31-E31</x:f>
        <x:v>0</x:v>
      </x:c>
      <x:c r="H31" s="152" t="n">
        <x:f>ABS(G31)</x:f>
        <x:v>0</x:v>
      </x:c>
      <x:c r="I31" s="151" t="b">
        <x:f>H31=0</x:f>
        <x:v>1</x:v>
      </x:c>
      <x:c r="J31" s="146"/>
    </x:row>
    <x:row r="32">
      <x:c r="A32" s="151" t="n">
        <x:v>2701</x:v>
      </x:c>
      <x:c r="B32" s="151" t="n">
        <x:v>20</x:v>
      </x:c>
      <x:c r="C32" s="151" t="b">
        <x:f>'Raw Evaluations'!$G$21='Raw Evaluations'!$G$51</x:f>
        <x:v>1</x:v>
      </x:c>
      <x:c r="D32" s="151" t="b">
        <x:f>'Raw Evaluations'!$C$21='Raw Evaluations'!$C$51</x:f>
        <x:v>1</x:v>
      </x:c>
      <x:c r="E32" s="152" t="n">
        <x:f>'Raw Evaluations'!$K$21</x:f>
        <x:v>0.812</x:v>
      </x:c>
      <x:c r="F32" s="152" t="n">
        <x:f>'Raw Evaluations'!$K$51</x:f>
        <x:v>0.812</x:v>
      </x:c>
      <x:c r="G32" s="152" t="n">
        <x:f>F32-E32</x:f>
        <x:v>0</x:v>
      </x:c>
      <x:c r="H32" s="152" t="n">
        <x:f>ABS(G32)</x:f>
        <x:v>0</x:v>
      </x:c>
      <x:c r="I32" s="151" t="b">
        <x:f>H32=0</x:f>
        <x:v>1</x:v>
      </x:c>
      <x:c r="J32" s="146"/>
    </x:row>
    <x:row r="33">
      <x:c r="A33" s="151" t="n">
        <x:v>2702</x:v>
      </x:c>
      <x:c r="B33" s="151" t="n">
        <x:v>1</x:v>
      </x:c>
      <x:c r="C33" s="151" t="b">
        <x:f>'Raw Evaluations'!$G$62='Raw Evaluations'!$G$92</x:f>
        <x:v>1</x:v>
      </x:c>
      <x:c r="D33" s="151" t="b">
        <x:f>'Raw Evaluations'!$C$62='Raw Evaluations'!$C$92</x:f>
        <x:v>1</x:v>
      </x:c>
      <x:c r="E33" s="152" t="n">
        <x:f>'Raw Evaluations'!$K$62</x:f>
        <x:v>0.7518</x:v>
      </x:c>
      <x:c r="F33" s="152" t="n">
        <x:f>'Raw Evaluations'!$K$92</x:f>
        <x:v>0.761</x:v>
      </x:c>
      <x:c r="G33" s="152" t="n">
        <x:f>F33-E33</x:f>
        <x:v>0.009199999999999986</x:v>
      </x:c>
      <x:c r="H33" s="152" t="n">
        <x:f>ABS(G33)</x:f>
        <x:v>0.009199999999999986</x:v>
      </x:c>
      <x:c r="I33" s="151" t="b">
        <x:f>H33=0</x:f>
        <x:v>0</x:v>
      </x:c>
      <x:c r="J33" s="146"/>
    </x:row>
    <x:row r="34">
      <x:c r="A34" s="151" t="n">
        <x:v>2702</x:v>
      </x:c>
      <x:c r="B34" s="151" t="n">
        <x:v>2</x:v>
      </x:c>
      <x:c r="C34" s="151" t="b">
        <x:f>'Raw Evaluations'!$G$63='Raw Evaluations'!$G$93</x:f>
        <x:v>1</x:v>
      </x:c>
      <x:c r="D34" s="151" t="b">
        <x:f>'Raw Evaluations'!$C$63='Raw Evaluations'!$C$93</x:f>
        <x:v>1</x:v>
      </x:c>
      <x:c r="E34" s="152" t="n">
        <x:f>'Raw Evaluations'!$K$63</x:f>
        <x:v>0.8044</x:v>
      </x:c>
      <x:c r="F34" s="152" t="n">
        <x:f>'Raw Evaluations'!$K$93</x:f>
        <x:v>0.8044</x:v>
      </x:c>
      <x:c r="G34" s="152" t="n">
        <x:f>F34-E34</x:f>
        <x:v>0</x:v>
      </x:c>
      <x:c r="H34" s="152" t="n">
        <x:f>ABS(G34)</x:f>
        <x:v>0</x:v>
      </x:c>
      <x:c r="I34" s="151" t="b">
        <x:f>H34=0</x:f>
        <x:v>1</x:v>
      </x:c>
      <x:c r="J34" s="146"/>
    </x:row>
    <x:row r="35">
      <x:c r="A35" s="151" t="n">
        <x:v>2702</x:v>
      </x:c>
      <x:c r="B35" s="151" t="n">
        <x:v>3</x:v>
      </x:c>
      <x:c r="C35" s="151" t="b">
        <x:f>'Raw Evaluations'!$G$64='Raw Evaluations'!$G$94</x:f>
        <x:v>1</x:v>
      </x:c>
      <x:c r="D35" s="151" t="b">
        <x:f>'Raw Evaluations'!$C$64='Raw Evaluations'!$C$94</x:f>
        <x:v>1</x:v>
      </x:c>
      <x:c r="E35" s="152" t="n">
        <x:f>'Raw Evaluations'!$K$64</x:f>
        <x:v>0.7646</x:v>
      </x:c>
      <x:c r="F35" s="152" t="n">
        <x:f>'Raw Evaluations'!$K$94</x:f>
        <x:v>0.7618</x:v>
      </x:c>
      <x:c r="G35" s="152" t="n">
        <x:f>F35-E35</x:f>
        <x:v>-0.0027999999999999137</x:v>
      </x:c>
      <x:c r="H35" s="152" t="n">
        <x:f>ABS(G35)</x:f>
        <x:v>0.0027999999999999137</x:v>
      </x:c>
      <x:c r="I35" s="151" t="b">
        <x:f>H35=0</x:f>
        <x:v>0</x:v>
      </x:c>
      <x:c r="J35" s="146"/>
    </x:row>
    <x:row r="36">
      <x:c r="A36" s="151" t="n">
        <x:v>2702</x:v>
      </x:c>
      <x:c r="B36" s="151" t="n">
        <x:v>4</x:v>
      </x:c>
      <x:c r="C36" s="151" t="b">
        <x:f>'Raw Evaluations'!$G$65='Raw Evaluations'!$G$95</x:f>
        <x:v>1</x:v>
      </x:c>
      <x:c r="D36" s="151" t="b">
        <x:f>'Raw Evaluations'!$C$65='Raw Evaluations'!$C$95</x:f>
        <x:v>1</x:v>
      </x:c>
      <x:c r="E36" s="152" t="n">
        <x:f>'Raw Evaluations'!$K$65</x:f>
        <x:v>0.8092</x:v>
      </x:c>
      <x:c r="F36" s="152" t="n">
        <x:f>'Raw Evaluations'!$K$95</x:f>
        <x:v>0.802</x:v>
      </x:c>
      <x:c r="G36" s="152" t="n">
        <x:f>F36-E36</x:f>
        <x:v>-0.007199999999999984</x:v>
      </x:c>
      <x:c r="H36" s="152" t="n">
        <x:f>ABS(G36)</x:f>
        <x:v>0.007199999999999984</x:v>
      </x:c>
      <x:c r="I36" s="151" t="b">
        <x:f>H36=0</x:f>
        <x:v>0</x:v>
      </x:c>
      <x:c r="J36" s="146"/>
    </x:row>
    <x:row r="37">
      <x:c r="A37" s="151" t="n">
        <x:v>2702</x:v>
      </x:c>
      <x:c r="B37" s="151" t="n">
        <x:v>5</x:v>
      </x:c>
      <x:c r="C37" s="151" t="b">
        <x:f>'Raw Evaluations'!$G$66='Raw Evaluations'!$G$96</x:f>
        <x:v>1</x:v>
      </x:c>
      <x:c r="D37" s="151" t="b">
        <x:f>'Raw Evaluations'!$C$66='Raw Evaluations'!$C$96</x:f>
        <x:v>1</x:v>
      </x:c>
      <x:c r="E37" s="152" t="n">
        <x:f>'Raw Evaluations'!$K$66</x:f>
        <x:v>0.757</x:v>
      </x:c>
      <x:c r="F37" s="152" t="n">
        <x:f>'Raw Evaluations'!$K$96</x:f>
        <x:v>0.7768</x:v>
      </x:c>
      <x:c r="G37" s="152" t="n">
        <x:f>F37-E37</x:f>
        <x:v>0.01980000000000004</x:v>
      </x:c>
      <x:c r="H37" s="152" t="n">
        <x:f>ABS(G37)</x:f>
        <x:v>0.01980000000000004</x:v>
      </x:c>
      <x:c r="I37" s="151" t="b">
        <x:f>H37=0</x:f>
        <x:v>0</x:v>
      </x:c>
      <x:c r="J37" s="146"/>
    </x:row>
    <x:row r="38">
      <x:c r="A38" s="151" t="n">
        <x:v>2702</x:v>
      </x:c>
      <x:c r="B38" s="151" t="n">
        <x:v>6</x:v>
      </x:c>
      <x:c r="C38" s="151" t="b">
        <x:f>'Raw Evaluations'!$G$67='Raw Evaluations'!$G$97</x:f>
        <x:v>1</x:v>
      </x:c>
      <x:c r="D38" s="151" t="b">
        <x:f>'Raw Evaluations'!$C$67='Raw Evaluations'!$C$97</x:f>
        <x:v>1</x:v>
      </x:c>
      <x:c r="E38" s="152" t="n">
        <x:f>'Raw Evaluations'!$K$67</x:f>
        <x:v>0.6414</x:v>
      </x:c>
      <x:c r="F38" s="152" t="n">
        <x:f>'Raw Evaluations'!$K$97</x:f>
        <x:v>0.6414</x:v>
      </x:c>
      <x:c r="G38" s="152" t="n">
        <x:f>F38-E38</x:f>
        <x:v>0</x:v>
      </x:c>
      <x:c r="H38" s="152" t="n">
        <x:f>ABS(G38)</x:f>
        <x:v>0</x:v>
      </x:c>
      <x:c r="I38" s="151" t="b">
        <x:f>H38=0</x:f>
        <x:v>1</x:v>
      </x:c>
      <x:c r="J38" s="146"/>
    </x:row>
    <x:row r="39">
      <x:c r="A39" s="151" t="n">
        <x:v>2702</x:v>
      </x:c>
      <x:c r="B39" s="151" t="n">
        <x:v>7</x:v>
      </x:c>
      <x:c r="C39" s="151" t="b">
        <x:f>'Raw Evaluations'!$G$68='Raw Evaluations'!$G$98</x:f>
        <x:v>1</x:v>
      </x:c>
      <x:c r="D39" s="151" t="b">
        <x:f>'Raw Evaluations'!$C$68='Raw Evaluations'!$C$98</x:f>
        <x:v>1</x:v>
      </x:c>
      <x:c r="E39" s="152" t="n">
        <x:f>'Raw Evaluations'!$K$68</x:f>
        <x:v>0.768</x:v>
      </x:c>
      <x:c r="F39" s="152" t="n">
        <x:f>'Raw Evaluations'!$K$98</x:f>
        <x:v>0.78</x:v>
      </x:c>
      <x:c r="G39" s="152" t="n">
        <x:f>F39-E39</x:f>
        <x:v>0.01200000000000001</x:v>
      </x:c>
      <x:c r="H39" s="152" t="n">
        <x:f>ABS(G39)</x:f>
        <x:v>0.01200000000000001</x:v>
      </x:c>
      <x:c r="I39" s="151" t="b">
        <x:f>H39=0</x:f>
        <x:v>0</x:v>
      </x:c>
      <x:c r="J39" s="146"/>
    </x:row>
    <x:row r="40">
      <x:c r="A40" s="151" t="n">
        <x:v>2702</x:v>
      </x:c>
      <x:c r="B40" s="151" t="n">
        <x:v>8</x:v>
      </x:c>
      <x:c r="C40" s="151" t="b">
        <x:f>'Raw Evaluations'!$G$69='Raw Evaluations'!$G$99</x:f>
        <x:v>1</x:v>
      </x:c>
      <x:c r="D40" s="151" t="b">
        <x:f>'Raw Evaluations'!$C$69='Raw Evaluations'!$C$99</x:f>
        <x:v>1</x:v>
      </x:c>
      <x:c r="E40" s="152" t="n">
        <x:f>'Raw Evaluations'!$K$69</x:f>
        <x:v>0.7778</x:v>
      </x:c>
      <x:c r="F40" s="152" t="n">
        <x:f>'Raw Evaluations'!$K$99</x:f>
        <x:v>0.7798</x:v>
      </x:c>
      <x:c r="G40" s="152" t="n">
        <x:f>F40-E40</x:f>
        <x:v>0.0020000000000000018</x:v>
      </x:c>
      <x:c r="H40" s="152" t="n">
        <x:f>ABS(G40)</x:f>
        <x:v>0.0020000000000000018</x:v>
      </x:c>
      <x:c r="I40" s="151" t="b">
        <x:f>H40=0</x:f>
        <x:v>0</x:v>
      </x:c>
      <x:c r="J40" s="146"/>
    </x:row>
    <x:row r="41">
      <x:c r="A41" s="151" t="n">
        <x:v>2702</x:v>
      </x:c>
      <x:c r="B41" s="151" t="n">
        <x:v>9</x:v>
      </x:c>
      <x:c r="C41" s="151" t="b">
        <x:f>'Raw Evaluations'!$G$70='Raw Evaluations'!$G$100</x:f>
        <x:v>1</x:v>
      </x:c>
      <x:c r="D41" s="151" t="b">
        <x:f>'Raw Evaluations'!$C$70='Raw Evaluations'!$C$100</x:f>
        <x:v>1</x:v>
      </x:c>
      <x:c r="E41" s="152" t="n">
        <x:f>'Raw Evaluations'!$K$70</x:f>
        <x:v>0.7482</x:v>
      </x:c>
      <x:c r="F41" s="152" t="n">
        <x:f>'Raw Evaluations'!$K$100</x:f>
        <x:v>0.732</x:v>
      </x:c>
      <x:c r="G41" s="152" t="n">
        <x:f>F41-E41</x:f>
        <x:v>-0.016199999999999992</x:v>
      </x:c>
      <x:c r="H41" s="152" t="n">
        <x:f>ABS(G41)</x:f>
        <x:v>0.016199999999999992</x:v>
      </x:c>
      <x:c r="I41" s="151" t="b">
        <x:f>H41=0</x:f>
        <x:v>0</x:v>
      </x:c>
      <x:c r="J41" s="146"/>
    </x:row>
    <x:row r="42">
      <x:c r="A42" s="151" t="n">
        <x:v>2702</x:v>
      </x:c>
      <x:c r="B42" s="151" t="n">
        <x:v>10</x:v>
      </x:c>
      <x:c r="C42" s="151" t="b">
        <x:f>'Raw Evaluations'!$G$71='Raw Evaluations'!$G$101</x:f>
        <x:v>1</x:v>
      </x:c>
      <x:c r="D42" s="151" t="b">
        <x:f>'Raw Evaluations'!$C$71='Raw Evaluations'!$C$101</x:f>
        <x:v>1</x:v>
      </x:c>
      <x:c r="E42" s="152" t="n">
        <x:f>'Raw Evaluations'!$K$71</x:f>
        <x:v>0.785</x:v>
      </x:c>
      <x:c r="F42" s="152" t="n">
        <x:f>'Raw Evaluations'!$K$101</x:f>
        <x:v>0.785</x:v>
      </x:c>
      <x:c r="G42" s="152" t="n">
        <x:f>F42-E42</x:f>
        <x:v>0</x:v>
      </x:c>
      <x:c r="H42" s="152" t="n">
        <x:f>ABS(G42)</x:f>
        <x:v>0</x:v>
      </x:c>
      <x:c r="I42" s="151" t="b">
        <x:f>H42=0</x:f>
        <x:v>1</x:v>
      </x:c>
      <x:c r="J42" s="146"/>
    </x:row>
    <x:row r="43">
      <x:c r="A43" s="151" t="n">
        <x:v>2702</x:v>
      </x:c>
      <x:c r="B43" s="151" t="n">
        <x:v>11</x:v>
      </x:c>
      <x:c r="C43" s="151" t="b">
        <x:f>'Raw Evaluations'!$G$72='Raw Evaluations'!$G$102</x:f>
        <x:v>1</x:v>
      </x:c>
      <x:c r="D43" s="151" t="b">
        <x:f>'Raw Evaluations'!$C$72='Raw Evaluations'!$C$102</x:f>
        <x:v>1</x:v>
      </x:c>
      <x:c r="E43" s="152" t="n">
        <x:f>'Raw Evaluations'!$K$72</x:f>
        <x:v>0.7664</x:v>
      </x:c>
      <x:c r="F43" s="152" t="n">
        <x:f>'Raw Evaluations'!$K$102</x:f>
        <x:v>0.7622</x:v>
      </x:c>
      <x:c r="G43" s="152" t="n">
        <x:f>F43-E43</x:f>
        <x:v>-0.0041999999999999815</x:v>
      </x:c>
      <x:c r="H43" s="152" t="n">
        <x:f>ABS(G43)</x:f>
        <x:v>0.0041999999999999815</x:v>
      </x:c>
      <x:c r="I43" s="151" t="b">
        <x:f>H43=0</x:f>
        <x:v>0</x:v>
      </x:c>
      <x:c r="J43" s="146"/>
    </x:row>
    <x:row r="44">
      <x:c r="A44" s="151" t="n">
        <x:v>2702</x:v>
      </x:c>
      <x:c r="B44" s="151" t="n">
        <x:v>12</x:v>
      </x:c>
      <x:c r="C44" s="151" t="b">
        <x:f>'Raw Evaluations'!$G$73='Raw Evaluations'!$G$103</x:f>
        <x:v>1</x:v>
      </x:c>
      <x:c r="D44" s="151" t="b">
        <x:f>'Raw Evaluations'!$C$73='Raw Evaluations'!$C$103</x:f>
        <x:v>1</x:v>
      </x:c>
      <x:c r="E44" s="152" t="n">
        <x:f>'Raw Evaluations'!$K$73</x:f>
        <x:v>0.735</x:v>
      </x:c>
      <x:c r="F44" s="152" t="n">
        <x:f>'Raw Evaluations'!$K$103</x:f>
        <x:v>0.7576</x:v>
      </x:c>
      <x:c r="G44" s="152" t="n">
        <x:f>F44-E44</x:f>
        <x:v>0.022600000000000064</x:v>
      </x:c>
      <x:c r="H44" s="152" t="n">
        <x:f>ABS(G44)</x:f>
        <x:v>0.022600000000000064</x:v>
      </x:c>
      <x:c r="I44" s="151" t="b">
        <x:f>H44=0</x:f>
        <x:v>0</x:v>
      </x:c>
      <x:c r="J44" s="146"/>
    </x:row>
    <x:row r="45">
      <x:c r="A45" s="151" t="n">
        <x:v>2702</x:v>
      </x:c>
      <x:c r="B45" s="151" t="n">
        <x:v>13</x:v>
      </x:c>
      <x:c r="C45" s="151" t="b">
        <x:f>'Raw Evaluations'!$G$74='Raw Evaluations'!$G$104</x:f>
        <x:v>1</x:v>
      </x:c>
      <x:c r="D45" s="151" t="b">
        <x:f>'Raw Evaluations'!$C$74='Raw Evaluations'!$C$104</x:f>
        <x:v>1</x:v>
      </x:c>
      <x:c r="E45" s="152" t="n">
        <x:f>'Raw Evaluations'!$K$74</x:f>
        <x:v>0.8124</x:v>
      </x:c>
      <x:c r="F45" s="152" t="n">
        <x:f>'Raw Evaluations'!$K$104</x:f>
        <x:v>0.8186</x:v>
      </x:c>
      <x:c r="G45" s="152" t="n">
        <x:f>F45-E45</x:f>
        <x:v>0.006199999999999983</x:v>
      </x:c>
      <x:c r="H45" s="152" t="n">
        <x:f>ABS(G45)</x:f>
        <x:v>0.006199999999999983</x:v>
      </x:c>
      <x:c r="I45" s="151" t="b">
        <x:f>H45=0</x:f>
        <x:v>0</x:v>
      </x:c>
      <x:c r="J45" s="146"/>
    </x:row>
    <x:row r="46">
      <x:c r="A46" s="151" t="n">
        <x:v>2702</x:v>
      </x:c>
      <x:c r="B46" s="151" t="n">
        <x:v>14</x:v>
      </x:c>
      <x:c r="C46" s="151" t="b">
        <x:f>'Raw Evaluations'!$G$75='Raw Evaluations'!$G$105</x:f>
        <x:v>1</x:v>
      </x:c>
      <x:c r="D46" s="151" t="b">
        <x:f>'Raw Evaluations'!$C$75='Raw Evaluations'!$C$105</x:f>
        <x:v>1</x:v>
      </x:c>
      <x:c r="E46" s="152" t="n">
        <x:f>'Raw Evaluations'!$K$75</x:f>
        <x:v>0.7606</x:v>
      </x:c>
      <x:c r="F46" s="152" t="n">
        <x:f>'Raw Evaluations'!$K$105</x:f>
        <x:v>0.754</x:v>
      </x:c>
      <x:c r="G46" s="152" t="n">
        <x:f>F46-E46</x:f>
        <x:v>-0.00660000000000005</x:v>
      </x:c>
      <x:c r="H46" s="152" t="n">
        <x:f>ABS(G46)</x:f>
        <x:v>0.00660000000000005</x:v>
      </x:c>
      <x:c r="I46" s="151" t="b">
        <x:f>H46=0</x:f>
        <x:v>0</x:v>
      </x:c>
      <x:c r="J46" s="146"/>
    </x:row>
    <x:row r="47">
      <x:c r="A47" s="151" t="n">
        <x:v>2702</x:v>
      </x:c>
      <x:c r="B47" s="151" t="n">
        <x:v>15</x:v>
      </x:c>
      <x:c r="C47" s="151" t="b">
        <x:f>'Raw Evaluations'!$G$76='Raw Evaluations'!$G$106</x:f>
        <x:v>1</x:v>
      </x:c>
      <x:c r="D47" s="151" t="b">
        <x:f>'Raw Evaluations'!$C$76='Raw Evaluations'!$C$106</x:f>
        <x:v>1</x:v>
      </x:c>
      <x:c r="E47" s="152" t="n">
        <x:f>'Raw Evaluations'!$K$76</x:f>
        <x:v>0.7866</x:v>
      </x:c>
      <x:c r="F47" s="152" t="n">
        <x:f>'Raw Evaluations'!$K$106</x:f>
        <x:v>0.7788</x:v>
      </x:c>
      <x:c r="G47" s="152" t="n">
        <x:f>F47-E47</x:f>
        <x:v>-0.007799999999999918</x:v>
      </x:c>
      <x:c r="H47" s="152" t="n">
        <x:f>ABS(G47)</x:f>
        <x:v>0.007799999999999918</x:v>
      </x:c>
      <x:c r="I47" s="151" t="b">
        <x:f>H47=0</x:f>
        <x:v>0</x:v>
      </x:c>
      <x:c r="J47" s="146"/>
    </x:row>
    <x:row r="48">
      <x:c r="A48" s="151" t="n">
        <x:v>2702</x:v>
      </x:c>
      <x:c r="B48" s="151" t="n">
        <x:v>16</x:v>
      </x:c>
      <x:c r="C48" s="151" t="b">
        <x:f>'Raw Evaluations'!$G$77='Raw Evaluations'!$G$107</x:f>
        <x:v>1</x:v>
      </x:c>
      <x:c r="D48" s="151" t="b">
        <x:f>'Raw Evaluations'!$C$77='Raw Evaluations'!$C$107</x:f>
        <x:v>1</x:v>
      </x:c>
      <x:c r="E48" s="152" t="n">
        <x:f>'Raw Evaluations'!$K$77</x:f>
        <x:v>0.7564</x:v>
      </x:c>
      <x:c r="F48" s="152" t="n">
        <x:f>'Raw Evaluations'!$K$107</x:f>
        <x:v>0.7564</x:v>
      </x:c>
      <x:c r="G48" s="152" t="n">
        <x:f>F48-E48</x:f>
        <x:v>0</x:v>
      </x:c>
      <x:c r="H48" s="152" t="n">
        <x:f>ABS(G48)</x:f>
        <x:v>0</x:v>
      </x:c>
      <x:c r="I48" s="151" t="b">
        <x:f>H48=0</x:f>
        <x:v>1</x:v>
      </x:c>
      <x:c r="J48" s="146"/>
    </x:row>
    <x:row r="49">
      <x:c r="A49" s="151" t="n">
        <x:v>2702</x:v>
      </x:c>
      <x:c r="B49" s="151" t="n">
        <x:v>17</x:v>
      </x:c>
      <x:c r="C49" s="151" t="b">
        <x:f>'Raw Evaluations'!$G$78='Raw Evaluations'!$G$108</x:f>
        <x:v>1</x:v>
      </x:c>
      <x:c r="D49" s="151" t="b">
        <x:f>'Raw Evaluations'!$C$78='Raw Evaluations'!$C$108</x:f>
        <x:v>1</x:v>
      </x:c>
      <x:c r="E49" s="152" t="n">
        <x:f>'Raw Evaluations'!$K$78</x:f>
        <x:v>0.7862</x:v>
      </x:c>
      <x:c r="F49" s="152" t="n">
        <x:f>'Raw Evaluations'!$K$108</x:f>
        <x:v>0.7718</x:v>
      </x:c>
      <x:c r="G49" s="152" t="n">
        <x:f>F49-E49</x:f>
        <x:v>-0.014399999999999968</x:v>
      </x:c>
      <x:c r="H49" s="152" t="n">
        <x:f>ABS(G49)</x:f>
        <x:v>0.014399999999999968</x:v>
      </x:c>
      <x:c r="I49" s="151" t="b">
        <x:f>H49=0</x:f>
        <x:v>0</x:v>
      </x:c>
      <x:c r="J49" s="146"/>
    </x:row>
    <x:row r="50">
      <x:c r="A50" s="151" t="n">
        <x:v>2702</x:v>
      </x:c>
      <x:c r="B50" s="151" t="n">
        <x:v>18</x:v>
      </x:c>
      <x:c r="C50" s="151" t="b">
        <x:f>'Raw Evaluations'!$G$79='Raw Evaluations'!$G$109</x:f>
        <x:v>1</x:v>
      </x:c>
      <x:c r="D50" s="151" t="b">
        <x:f>'Raw Evaluations'!$C$79='Raw Evaluations'!$C$109</x:f>
        <x:v>1</x:v>
      </x:c>
      <x:c r="E50" s="152" t="n">
        <x:f>'Raw Evaluations'!$K$79</x:f>
        <x:v>0.801</x:v>
      </x:c>
      <x:c r="F50" s="152" t="n">
        <x:f>'Raw Evaluations'!$K$109</x:f>
        <x:v>0.801</x:v>
      </x:c>
      <x:c r="G50" s="152" t="n">
        <x:f>F50-E50</x:f>
        <x:v>0</x:v>
      </x:c>
      <x:c r="H50" s="152" t="n">
        <x:f>ABS(G50)</x:f>
        <x:v>0</x:v>
      </x:c>
      <x:c r="I50" s="151" t="b">
        <x:f>H50=0</x:f>
        <x:v>1</x:v>
      </x:c>
      <x:c r="J50" s="146"/>
    </x:row>
    <x:row r="51">
      <x:c r="A51" s="151" t="n">
        <x:v>2702</x:v>
      </x:c>
      <x:c r="B51" s="151" t="n">
        <x:v>19</x:v>
      </x:c>
      <x:c r="C51" s="151" t="b">
        <x:f>'Raw Evaluations'!$G$80='Raw Evaluations'!$G$110</x:f>
        <x:v>1</x:v>
      </x:c>
      <x:c r="D51" s="151" t="b">
        <x:f>'Raw Evaluations'!$C$80='Raw Evaluations'!$C$110</x:f>
        <x:v>1</x:v>
      </x:c>
      <x:c r="E51" s="152" t="n">
        <x:f>'Raw Evaluations'!$K$80</x:f>
        <x:v>0.7048</x:v>
      </x:c>
      <x:c r="F51" s="152" t="n">
        <x:f>'Raw Evaluations'!$K$110</x:f>
        <x:v>0.7048</x:v>
      </x:c>
      <x:c r="G51" s="152" t="n">
        <x:f>F51-E51</x:f>
        <x:v>0</x:v>
      </x:c>
      <x:c r="H51" s="152" t="n">
        <x:f>ABS(G51)</x:f>
        <x:v>0</x:v>
      </x:c>
      <x:c r="I51" s="151" t="b">
        <x:f>H51=0</x:f>
        <x:v>1</x:v>
      </x:c>
      <x:c r="J51" s="146"/>
    </x:row>
    <x:row r="52">
      <x:c r="A52" s="151" t="n">
        <x:v>2702</x:v>
      </x:c>
      <x:c r="B52" s="151" t="n">
        <x:v>20</x:v>
      </x:c>
      <x:c r="C52" s="151" t="b">
        <x:f>'Raw Evaluations'!$G$81='Raw Evaluations'!$G$111</x:f>
        <x:v>1</x:v>
      </x:c>
      <x:c r="D52" s="151" t="b">
        <x:f>'Raw Evaluations'!$C$81='Raw Evaluations'!$C$111</x:f>
        <x:v>1</x:v>
      </x:c>
      <x:c r="E52" s="152" t="n">
        <x:f>'Raw Evaluations'!$K$81</x:f>
        <x:v>0.6658</x:v>
      </x:c>
      <x:c r="F52" s="152" t="n">
        <x:f>'Raw Evaluations'!$K$111</x:f>
        <x:v>0.6722</x:v>
      </x:c>
      <x:c r="G52" s="152" t="n">
        <x:f>F52-E52</x:f>
        <x:v>0.006400000000000072</x:v>
      </x:c>
      <x:c r="H52" s="152" t="n">
        <x:f>ABS(G52)</x:f>
        <x:v>0.006400000000000072</x:v>
      </x:c>
      <x:c r="I52" s="151" t="b">
        <x:f>H52=0</x:f>
        <x:v>0</x:v>
      </x:c>
      <x:c r="J52" s="146"/>
    </x:row>
  </x:sheetData>
  <x:mergeCells>
    <x:mergeCell ref="A1:I2"/>
    <x:mergeCell ref="A3:I3"/>
  </x:mergeCells>
  <x:conditionalFormatting sqref="H13:H52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9" hidden="0" customWidth="1"/>
    <x:col min="4" max="4" width="9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52" hidden="0" customWidth="1"/>
  </x:cols>
  <x:sheetData>
    <x:row r="1">
      <x:c r="A1" s="115" t="str">
        <x:v>Top five evaluated architectures per run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</x:row>
    <x:row r="2">
      <x:c r="A2" s="146"/>
      <x:c r="B2" s="146"/>
      <x:c r="C2" s="146"/>
      <x:c r="D2" s="146"/>
      <x:c r="E2" s="146"/>
      <x:c r="F2" s="146"/>
      <x:c r="G2" s="146"/>
      <x:c r="H2" s="146"/>
      <x:c r="I2" s="146"/>
      <x:c r="J2" s="146"/>
      <x:c r="K2" s="146"/>
    </x:row>
    <x:row r="3">
      <x:c r="A3" s="146"/>
      <x:c r="B3" s="146"/>
      <x:c r="C3" s="146"/>
      <x:c r="D3" s="146"/>
      <x:c r="E3" s="146"/>
      <x:c r="F3" s="146"/>
      <x:c r="G3" s="146"/>
      <x:c r="H3" s="146"/>
      <x:c r="I3" s="146"/>
      <x:c r="J3" s="146"/>
      <x:c r="K3" s="146"/>
    </x:row>
    <x:row r="4">
      <x:c r="A4" s="133" t="str">
        <x:v>Method</x:v>
      </x:c>
      <x:c r="B4" s="134" t="str">
        <x:v>Seed</x:v>
      </x:c>
      <x:c r="C4" s="134" t="str">
        <x:v>Rank</x:v>
      </x:c>
      <x:c r="D4" s="134" t="str">
        <x:v>Eval</x:v>
      </x:c>
      <x:c r="E4" s="134" t="str">
        <x:v>Phase</x:v>
      </x:c>
      <x:c r="F4" s="134" t="str">
        <x:v>Mutation</x:v>
      </x:c>
      <x:c r="G4" s="134" t="str">
        <x:v>Fitness</x:v>
      </x:c>
      <x:c r="H4" s="134" t="str">
        <x:v>Best-val accuracy</x:v>
      </x:c>
      <x:c r="I4" s="134" t="str">
        <x:v>Parameters</x:v>
      </x:c>
      <x:c r="J4" s="134" t="str">
        <x:v>Training sec</x:v>
      </x:c>
      <x:c r="K4" s="135" t="str">
        <x:v>Architecture JSON</x:v>
      </x:c>
    </x:row>
    <x:row r="5">
      <x:c r="A5" s="149" t="str">
        <x:v>RE</x:v>
      </x:c>
      <x:c r="B5" s="149" t="n">
        <x:v>2701</x:v>
      </x:c>
      <x:c r="C5" s="149" t="n">
        <x:v>1</x:v>
      </x:c>
      <x:c r="D5" s="149" t="n">
        <x:v>22</x:v>
      </x:c>
      <x:c r="E5" s="149" t="str">
        <x:v>evolution</x:v>
      </x:c>
      <x:c r="F5" s="149" t="str">
        <x:v>operation</x:v>
      </x:c>
      <x:c r="G5" s="150" t="n">
        <x:v>0.83</x:v>
      </x:c>
      <x:c r="H5" s="150" t="n">
        <x:v>0.83</x:v>
      </x:c>
      <x:c r="I5" s="164" t="n">
        <x:v>606610</x:v>
      </x:c>
      <x:c r="J5" s="163" t="n">
        <x:v>85.0494835000136</x:v>
      </x:c>
      <x:c r="K5" s="149" t="str">
        <x:v>{"normal":{"pairs":[{"branch_1":{"input_state":0,"op":"identity"},"branch_2":{"input_state":0,"op":"identity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</x:row>
    <x:row r="6">
      <x:c r="A6" s="151" t="str">
        <x:v>RE</x:v>
      </x:c>
      <x:c r="B6" s="151" t="n">
        <x:v>2701</x:v>
      </x:c>
      <x:c r="C6" s="151" t="n">
        <x:v>2</x:v>
      </x:c>
      <x:c r="D6" s="151" t="n">
        <x:v>24</x:v>
      </x:c>
      <x:c r="E6" s="151" t="str">
        <x:v>evolution</x:v>
      </x:c>
      <x:c r="F6" s="151" t="str">
        <x:v>operation</x:v>
      </x:c>
      <x:c r="G6" s="152" t="n">
        <x:v>0.83</x:v>
      </x:c>
      <x:c r="H6" s="152" t="n">
        <x:v>0.83</x:v>
      </x:c>
      <x:c r="I6" s="166" t="n">
        <x:v>704674</x:v>
      </x:c>
      <x:c r="J6" s="165" t="n">
        <x:v>96.89855379998336</x:v>
      </x:c>
      <x:c r="K6" s="151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sep_conv_3x3"},"branch_2":{"input_state":1,"op":"conv_1x7_7x1"}},{"branch_1":{"input_state":1,"op":"sep_conv_3x3"},"branch_2":{"input_state":0,"op":"max_pool_3x3"}}]}}</x:v>
      </x:c>
    </x:row>
    <x:row r="7">
      <x:c r="A7" s="151" t="str">
        <x:v>RE</x:v>
      </x:c>
      <x:c r="B7" s="151" t="n">
        <x:v>2701</x:v>
      </x:c>
      <x:c r="C7" s="151" t="n">
        <x:v>3</x:v>
      </x:c>
      <x:c r="D7" s="151" t="n">
        <x:v>7</x:v>
      </x:c>
      <x:c r="E7" s="151" t="str">
        <x:v>initialization</x:v>
      </x:c>
      <x:c r="F7" s="151" t="str">
        <x:v>random_initialization</x:v>
      </x:c>
      <x:c r="G7" s="152" t="n">
        <x:v>0.8284</x:v>
      </x:c>
      <x:c r="H7" s="152" t="n">
        <x:v>0.8284</x:v>
      </x:c>
      <x:c r="I7" s="166" t="n">
        <x:v>701614</x:v>
      </x:c>
      <x:c r="J7" s="165" t="n">
        <x:v>112.9363051999826</x:v>
      </x:c>
      <x:c r="K7" s="151" t="str">
        <x:v>{"normal":{"pairs":[{"branch_1":{"input_state":0,"op":"conv_1x7_7x1"},"branch_2":{"input_state":0,"op":"avg_pool_3x3"}},{"branch_1":{"input_state":0,"op":"identity"},"branch_2":{"input_state":2,"op":"avg_pool_3x3"}},{"branch_1":{"input_state":2,"op":"sep_conv_5x5"},"branch_2":{"input_state":0,"op":"max_pool_3x3"}},{"branch_1":{"input_state":0,"op":"max_pool_3x3"},"branch_2":{"input_state":4,"op":"dil_sep_conv_3x3"}},{"branch_1":{"input_state":1,"op":"avg_pool_3x3"},"branch_2":{"input_state":0,"op":"sep_conv_3x3"}}]},"reduction":{"pairs":[{"branch_1":{"input_state":1,"op":"max_pool_3x3"},"branch_2":{"input_state":1,"op":"dil_sep_conv_3x3"}},{"branch_1":{"input_state":1,"op":"sep_conv_5x5"},"branch_2":{"input_state":1,"op":"avg_pool_3x3"}},{"branch_1":{"input_state":3,"op":"identity"},"branch_2":{"input_state":2,"op":"sep_conv_7x7"}},{"branch_1":{"input_state":1,"op":"max_pool_3x3"},"branch_2":{"input_state":2,"op":"sep_conv_5x5"}},{"branch_1":{"input_state":0,"op":"sep_conv_7x7"},"branch_2":{"input_state":5,"op":"max_pool_3x3"}}]}}</x:v>
      </x:c>
    </x:row>
    <x:row r="8">
      <x:c r="A8" s="151" t="str">
        <x:v>RE</x:v>
      </x:c>
      <x:c r="B8" s="151" t="n">
        <x:v>2701</x:v>
      </x:c>
      <x:c r="C8" s="151" t="n">
        <x:v>4</x:v>
      </x:c>
      <x:c r="D8" s="151" t="n">
        <x:v>17</x:v>
      </x:c>
      <x:c r="E8" s="151" t="str">
        <x:v>initialization</x:v>
      </x:c>
      <x:c r="F8" s="151" t="str">
        <x:v>random_initialization</x:v>
      </x:c>
      <x:c r="G8" s="152" t="n">
        <x:v>0.822</x:v>
      </x:c>
      <x:c r="H8" s="152" t="n">
        <x:v>0.822</x:v>
      </x:c>
      <x:c r="I8" s="166" t="n">
        <x:v>945214</x:v>
      </x:c>
      <x:c r="J8" s="165" t="n">
        <x:v>132.68531359999906</x:v>
      </x:c>
      <x:c r="K8" s="151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</x:row>
    <x:row r="9">
      <x:c r="A9" s="151" t="str">
        <x:v>RE</x:v>
      </x:c>
      <x:c r="B9" s="151" t="n">
        <x:v>2701</x:v>
      </x:c>
      <x:c r="C9" s="151" t="n">
        <x:v>5</x:v>
      </x:c>
      <x:c r="D9" s="151" t="n">
        <x:v>23</x:v>
      </x:c>
      <x:c r="E9" s="151" t="str">
        <x:v>evolution</x:v>
      </x:c>
      <x:c r="F9" s="151" t="str">
        <x:v>operation</x:v>
      </x:c>
      <x:c r="G9" s="152" t="n">
        <x:v>0.8198</x:v>
      </x:c>
      <x:c r="H9" s="152" t="n">
        <x:v>0.8198</x:v>
      </x:c>
      <x:c r="I9" s="166" t="n">
        <x:v>690274</x:v>
      </x:c>
      <x:c r="J9" s="165" t="n">
        <x:v>97.85009349999018</x:v>
      </x:c>
      <x:c r="K9" s="151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max_pool_3x3"}},{"branch_1":{"input_state":1,"op":"identity"},"branch_2":{"input_state":1,"op":"conv_1x7_7x1"}},{"branch_1":{"input_state":1,"op":"sep_conv_3x3"},"branch_2":{"input_state":0,"op":"max_pool_3x3"}}]}}</x:v>
      </x:c>
    </x:row>
    <x:row r="10">
      <x:c r="A10" s="151" t="str">
        <x:v>SA-RE</x:v>
      </x:c>
      <x:c r="B10" s="151" t="n">
        <x:v>2701</x:v>
      </x:c>
      <x:c r="C10" s="151" t="n">
        <x:v>1</x:v>
      </x:c>
      <x:c r="D10" s="151" t="n">
        <x:v>7</x:v>
      </x:c>
      <x:c r="E10" s="151" t="str">
        <x:v>initialization</x:v>
      </x:c>
      <x:c r="F10" s="151" t="str">
        <x:v>random_initialization</x:v>
      </x:c>
      <x:c r="G10" s="152" t="n">
        <x:v>0.8284</x:v>
      </x:c>
      <x:c r="H10" s="152" t="n">
        <x:v>0.8284</x:v>
      </x:c>
      <x:c r="I10" s="166" t="n">
        <x:v>701614</x:v>
      </x:c>
      <x:c r="J10" s="165" t="n">
        <x:v>122.79624359999434</x:v>
      </x:c>
      <x:c r="K10" s="151" t="str">
        <x:v>{"normal":{"pairs":[{"branch_1":{"input_state":0,"op":"conv_1x7_7x1"},"branch_2":{"input_state":0,"op":"avg_pool_3x3"}},{"branch_1":{"input_state":0,"op":"identity"},"branch_2":{"input_state":2,"op":"avg_pool_3x3"}},{"branch_1":{"input_state":2,"op":"sep_conv_5x5"},"branch_2":{"input_state":0,"op":"max_pool_3x3"}},{"branch_1":{"input_state":0,"op":"max_pool_3x3"},"branch_2":{"input_state":4,"op":"dil_sep_conv_3x3"}},{"branch_1":{"input_state":1,"op":"avg_pool_3x3"},"branch_2":{"input_state":0,"op":"sep_conv_3x3"}}]},"reduction":{"pairs":[{"branch_1":{"input_state":1,"op":"max_pool_3x3"},"branch_2":{"input_state":1,"op":"dil_sep_conv_3x3"}},{"branch_1":{"input_state":1,"op":"sep_conv_5x5"},"branch_2":{"input_state":1,"op":"avg_pool_3x3"}},{"branch_1":{"input_state":3,"op":"identity"},"branch_2":{"input_state":2,"op":"sep_conv_7x7"}},{"branch_1":{"input_state":1,"op":"max_pool_3x3"},"branch_2":{"input_state":2,"op":"sep_conv_5x5"}},{"branch_1":{"input_state":0,"op":"sep_conv_7x7"},"branch_2":{"input_state":5,"op":"max_pool_3x3"}}]}}</x:v>
      </x:c>
    </x:row>
    <x:row r="11">
      <x:c r="A11" s="151" t="str">
        <x:v>SA-RE</x:v>
      </x:c>
      <x:c r="B11" s="151" t="n">
        <x:v>2701</x:v>
      </x:c>
      <x:c r="C11" s="151" t="n">
        <x:v>2</x:v>
      </x:c>
      <x:c r="D11" s="151" t="n">
        <x:v>23</x:v>
      </x:c>
      <x:c r="E11" s="151" t="str">
        <x:v>evolution</x:v>
      </x:c>
      <x:c r="F11" s="151" t="str">
        <x:v>hidden_state</x:v>
      </x:c>
      <x:c r="G11" s="152" t="n">
        <x:v>0.8234</x:v>
      </x:c>
      <x:c r="H11" s="152" t="n">
        <x:v>0.8234</x:v>
      </x:c>
      <x:c r="I11" s="166" t="n">
        <x:v>945214</x:v>
      </x:c>
      <x:c r="J11" s="165" t="n">
        <x:v>138.14111310002045</x:v>
      </x:c>
      <x:c r="K11" s="151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</x:row>
    <x:row r="12">
      <x:c r="A12" s="151" t="str">
        <x:v>SA-RE</x:v>
      </x:c>
      <x:c r="B12" s="151" t="n">
        <x:v>2701</x:v>
      </x:c>
      <x:c r="C12" s="151" t="n">
        <x:v>3</x:v>
      </x:c>
      <x:c r="D12" s="151" t="n">
        <x:v>17</x:v>
      </x:c>
      <x:c r="E12" s="151" t="str">
        <x:v>initialization</x:v>
      </x:c>
      <x:c r="F12" s="151" t="str">
        <x:v>random_initialization</x:v>
      </x:c>
      <x:c r="G12" s="152" t="n">
        <x:v>0.822</x:v>
      </x:c>
      <x:c r="H12" s="152" t="n">
        <x:v>0.822</x:v>
      </x:c>
      <x:c r="I12" s="166" t="n">
        <x:v>945214</x:v>
      </x:c>
      <x:c r="J12" s="165" t="n">
        <x:v>137.19052470001043</x:v>
      </x:c>
      <x:c r="K12" s="151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</x:row>
    <x:row r="13">
      <x:c r="A13" s="151" t="str">
        <x:v>SA-RE</x:v>
      </x:c>
      <x:c r="B13" s="151" t="n">
        <x:v>2701</x:v>
      </x:c>
      <x:c r="C13" s="151" t="n">
        <x:v>4</x:v>
      </x:c>
      <x:c r="D13" s="151" t="n">
        <x:v>28</x:v>
      </x:c>
      <x:c r="E13" s="151" t="str">
        <x:v>evolution</x:v>
      </x:c>
      <x:c r="F13" s="151" t="str">
        <x:v>operation</x:v>
      </x:c>
      <x:c r="G13" s="152" t="n">
        <x:v>0.822</x:v>
      </x:c>
      <x:c r="H13" s="152" t="n">
        <x:v>0.822</x:v>
      </x:c>
      <x:c r="I13" s="166" t="n">
        <x:v>785698</x:v>
      </x:c>
      <x:c r="J13" s="165" t="n">
        <x:v>108.97453250002582</x:v>
      </x:c>
      <x:c r="K13" s="151" t="str">
        <x:v>{"normal":{"pairs":[{"branch_1":{"input_state":0,"op":"sep_conv_3x3"},"branch_2":{"input_state":0,"op":"avg_pool_3x3"}},{"branch_1":{"input_state":1,"op":"sep_conv_3x3"},"branch_2":{"input_state":1,"op":"avg_pool_3x3"}},{"branch_1":{"input_state":1,"op":"identity"},"branch_2":{"input_state":1,"op":"avg_pool_3x3"}},{"branch_1":{"input_state":1,"op":"sep_conv_3x3"},"branch_2":{"input_state":3,"op":"dil_sep_conv_3x3"}},{"branch_1":{"input_state":1,"op":"max_pool_3x3"},"branch_2":{"input_state":3,"op":"identity"}}]},"reduction":{"pairs":[{"branch_1":{"input_state":1,"op":"avg_pool_3x3"},"branch_2":{"input_state":1,"op":"avg_pool_3x3"}},{"branch_1":{"input_state":0,"op":"identity"},"branch_2":{"input_state":0,"op":"avg_pool_3x3"}},{"branch_1":{"input_state":2,"op":"conv_1x7_7x1"},"branch_2":{"input_state":3,"op":"sep_conv_3x3"}},{"branch_1":{"input_state":2,"op":"sep_conv_5x5"},"branch_2":{"input_state":2,"op":"conv_1x7_7x1"}},{"branch_1":{"input_state":3,"op":"sep_conv_3x3"},"branch_2":{"input_state":3,"op":"dil_sep_conv_3x3"}}]}}</x:v>
      </x:c>
    </x:row>
    <x:row r="14">
      <x:c r="A14" s="151" t="str">
        <x:v>SA-RE</x:v>
      </x:c>
      <x:c r="B14" s="151" t="n">
        <x:v>2701</x:v>
      </x:c>
      <x:c r="C14" s="151" t="n">
        <x:v>5</x:v>
      </x:c>
      <x:c r="D14" s="151" t="n">
        <x:v>26</x:v>
      </x:c>
      <x:c r="E14" s="151" t="str">
        <x:v>evolution</x:v>
      </x:c>
      <x:c r="F14" s="151" t="str">
        <x:v>hidden_state</x:v>
      </x:c>
      <x:c r="G14" s="152" t="n">
        <x:v>0.8202</x:v>
      </x:c>
      <x:c r="H14" s="152" t="n">
        <x:v>0.8202</x:v>
      </x:c>
      <x:c r="I14" s="166" t="n">
        <x:v>945214</x:v>
      </x:c>
      <x:c r="J14" s="165" t="n">
        <x:v>139.49781159998383</x:v>
      </x:c>
      <x:c r="K14" s="151" t="str">
        <x:v>{"normal":{"pairs":[{"branch_1":{"input_state":0,"op":"max_pool_3x3"},"branch_2":{"input_state":0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</x:row>
    <x:row r="15">
      <x:c r="A15" s="151" t="str">
        <x:v>RE</x:v>
      </x:c>
      <x:c r="B15" s="151" t="n">
        <x:v>2702</x:v>
      </x:c>
      <x:c r="C15" s="151" t="n">
        <x:v>1</x:v>
      </x:c>
      <x:c r="D15" s="151" t="n">
        <x:v>21</x:v>
      </x:c>
      <x:c r="E15" s="151" t="str">
        <x:v>evolution</x:v>
      </x:c>
      <x:c r="F15" s="151" t="str">
        <x:v>hidden_state</x:v>
      </x:c>
      <x:c r="G15" s="152" t="n">
        <x:v>0.8156</x:v>
      </x:c>
      <x:c r="H15" s="152" t="n">
        <x:v>0.8156</x:v>
      </x:c>
      <x:c r="I15" s="166" t="n">
        <x:v>698662</x:v>
      </x:c>
      <x:c r="J15" s="165" t="n">
        <x:v>103.56737980002072</x:v>
      </x:c>
      <x:c r="K15" s="151" t="str">
        <x:v>{"normal":{"pairs":[{"branch_1":{"input_state":0,"op":"sep_conv_5x5"},"branch_2":{"input_state":0,"op":"max_pool_3x3"}},{"branch_1":{"input_state":2,"op":"conv_1x7_7x1"},"branch_2":{"input_state":2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0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</x:row>
    <x:row r="16">
      <x:c r="A16" s="151" t="str">
        <x:v>RE</x:v>
      </x:c>
      <x:c r="B16" s="151" t="n">
        <x:v>2702</x:v>
      </x:c>
      <x:c r="C16" s="151" t="n">
        <x:v>2</x:v>
      </x:c>
      <x:c r="D16" s="151" t="n">
        <x:v>30</x:v>
      </x:c>
      <x:c r="E16" s="151" t="str">
        <x:v>evolution</x:v>
      </x:c>
      <x:c r="F16" s="151" t="str">
        <x:v>operation</x:v>
      </x:c>
      <x:c r="G16" s="152" t="n">
        <x:v>0.813</x:v>
      </x:c>
      <x:c r="H16" s="152" t="n">
        <x:v>0.813</x:v>
      </x:c>
      <x:c r="I16" s="166" t="n">
        <x:v>698662</x:v>
      </x:c>
      <x:c r="J16" s="165" t="n">
        <x:v>105.61152030000812</x:v>
      </x:c>
      <x:c r="K16" s="151" t="str">
        <x:v>{"normal":{"pairs":[{"branch_1":{"input_state":0,"op":"sep_conv_5x5"},"branch_2":{"input_state":0,"op":"max_pool_3x3"}},{"branch_1":{"input_state":2,"op":"conv_1x7_7x1"},"branch_2":{"input_state":2,"op":"max_pool_3x3"}},{"branch_1":{"input_state":3,"op":"sep_conv_3x3"},"branch_2":{"input_state":2,"op":"max_pool_3x3"}},{"branch_1":{"input_state":3,"op":"dil_sep_conv_3x3"},"branch_2":{"input_state":0,"op":"max_pool_3x3"}},{"branch_1":{"input_state":5,"op":"avg_pool_3x3"},"branch_2":{"input_state":3,"op":"avg_pool_3x3"}}]},"reduction":{"pairs":[{"branch_1":{"input_state":0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</x:row>
    <x:row r="17">
      <x:c r="A17" s="151" t="str">
        <x:v>RE</x:v>
      </x:c>
      <x:c r="B17" s="151" t="n">
        <x:v>2702</x:v>
      </x:c>
      <x:c r="C17" s="151" t="n">
        <x:v>3</x:v>
      </x:c>
      <x:c r="D17" s="151" t="n">
        <x:v>13</x:v>
      </x:c>
      <x:c r="E17" s="151" t="str">
        <x:v>initialization</x:v>
      </x:c>
      <x:c r="F17" s="151" t="str">
        <x:v>random_initialization</x:v>
      </x:c>
      <x:c r="G17" s="152" t="n">
        <x:v>0.8124</x:v>
      </x:c>
      <x:c r="H17" s="152" t="n">
        <x:v>0.8124</x:v>
      </x:c>
      <x:c r="I17" s="166" t="n">
        <x:v>889738</x:v>
      </x:c>
      <x:c r="J17" s="165" t="n">
        <x:v>128.20257120000315</x:v>
      </x:c>
      <x:c r="K17" s="151" t="str">
        <x:v>{"normal":{"pairs":[{"branch_1":{"input_state":0,"op":"dil_sep_conv_3x3"},"branch_2":{"input_state":0,"op":"conv_1x7_7x1"}},{"branch_1":{"input_state":1,"op":"identity"},"branch_2":{"input_state":1,"op":"avg_pool_3x3"}},{"branch_1":{"input_state":0,"op":"max_pool_3x3"},"branch_2":{"input_state":0,"op":"avg_pool_3x3"}},{"branch_1":{"input_state":1,"op":"avg_pool_3x3"},"branch_2":{"input_state":2,"op":"sep_conv_3x3"}},{"branch_1":{"input_state":1,"op":"sep_conv_5x5"},"branch_2":{"input_state":1,"op":"conv_1x7_7x1"}}]},"reduction":{"pairs":[{"branch_1":{"input_state":0,"op":"conv_1x7_7x1"},"branch_2":{"input_state":0,"op":"dil_sep_conv_3x3"}},{"branch_1":{"input_state":0,"op":"conv_1x7_7x1"},"branch_2":{"input_state":0,"op":"sep_conv_5x5"}},{"branch_1":{"input_state":0,"op":"sep_conv_5x5"},"branch_2":{"input_state":1,"op":"sep_conv_3x3"}},{"branch_1":{"input_state":1,"op":"max_pool_3x3"},"branch_2":{"input_state":0,"op":"avg_pool_3x3"}},{"branch_1":{"input_state":1,"op":"dil_sep_conv_3x3"},"branch_2":{"input_state":2,"op":"sep_conv_3x3"}}]}}</x:v>
      </x:c>
    </x:row>
    <x:row r="18">
      <x:c r="A18" s="151" t="str">
        <x:v>RE</x:v>
      </x:c>
      <x:c r="B18" s="151" t="n">
        <x:v>2702</x:v>
      </x:c>
      <x:c r="C18" s="151" t="n">
        <x:v>4</x:v>
      </x:c>
      <x:c r="D18" s="151" t="n">
        <x:v>4</x:v>
      </x:c>
      <x:c r="E18" s="151" t="str">
        <x:v>initialization</x:v>
      </x:c>
      <x:c r="F18" s="151" t="str">
        <x:v>random_initialization</x:v>
      </x:c>
      <x:c r="G18" s="152" t="n">
        <x:v>0.8092</x:v>
      </x:c>
      <x:c r="H18" s="152" t="n">
        <x:v>0.8092</x:v>
      </x:c>
      <x:c r="I18" s="166" t="n">
        <x:v>732214</x:v>
      </x:c>
      <x:c r="J18" s="165" t="n">
        <x:v>134.78566730002058</x:v>
      </x:c>
      <x:c r="K18" s="151" t="str">
        <x:v>{"normal":{"pairs":[{"branch_1":{"input_state":1,"op":"conv_1x7_7x1"},"branch_2":{"input_state":1,"op":"conv_1x7_7x1"}},{"branch_1":{"input_state":1,"op":"avg_pool_3x3"},"branch_2":{"input_state":0,"op":"max_pool_3x3"}},{"branch_1":{"input_state":3,"op":"identity"},"branch_2":{"input_state":0,"op":"max_pool_3x3"}},{"branch_1":{"input_state":3,"op":"sep_conv_7x7"},"branch_2":{"input_state":4,"op":"max_pool_3x3"}},{"branch_1":{"input_state":3,"op":"avg_pool_3x3"},"branch_2":{"input_state":3,"op":"conv_1x7_7x1"}}]},"reduction":{"pairs":[{"branch_1":{"input_state":0,"op":"dil_sep_conv_3x3"},"branch_2":{"input_state":1,"op":"sep_conv_5x5"}},{"branch_1":{"input_state":0,"op":"max_pool_3x3"},"branch_2":{"input_state":2,"op":"identity"}},{"branch_1":{"input_state":2,"op":"sep_conv_3x3"},"branch_2":{"input_state":2,"op":"sep_conv_7x7"}},{"branch_1":{"input_state":4,"op":"conv_1x7_7x1"},"branch_2":{"input_state":4,"op":"sep_conv_3x3"}},{"branch_1":{"input_state":1,"op":"conv_1x7_7x1"},"branch_2":{"input_state":4,"op":"sep_conv_5x5"}}]}}</x:v>
      </x:c>
    </x:row>
    <x:row r="19">
      <x:c r="A19" s="151" t="str">
        <x:v>RE</x:v>
      </x:c>
      <x:c r="B19" s="151" t="n">
        <x:v>2702</x:v>
      </x:c>
      <x:c r="C19" s="151" t="n">
        <x:v>5</x:v>
      </x:c>
      <x:c r="D19" s="151" t="n">
        <x:v>2</x:v>
      </x:c>
      <x:c r="E19" s="151" t="str">
        <x:v>initialization</x:v>
      </x:c>
      <x:c r="F19" s="151" t="str">
        <x:v>random_initialization</x:v>
      </x:c>
      <x:c r="G19" s="152" t="n">
        <x:v>0.8044</x:v>
      </x:c>
      <x:c r="H19" s="152" t="n">
        <x:v>0.8044</x:v>
      </x:c>
      <x:c r="I19" s="166" t="n">
        <x:v>975946</x:v>
      </x:c>
      <x:c r="J19" s="165" t="n">
        <x:v>132.89455749999615</x:v>
      </x:c>
      <x:c r="K19" s="151" t="str">
        <x:v>{"normal":{"pairs":[{"branch_1":{"input_state":0,"op":"identity"},"branch_2":{"input_state":1,"op":"sep_conv_3x3"}},{"branch_1":{"input_state":0,"op":"identity"},"branch_2":{"input_state":2,"op":"sep_conv_7x7"}},{"branch_1":{"input_state":2,"op":"avg_pool_3x3"},"branch_2":{"input_state":2,"op":"max_pool_3x3"}},{"branch_1":{"input_state":1,"op":"sep_conv_5x5"},"branch_2":{"input_state":3,"op":"dil_sep_conv_3x3"}},{"branch_1":{"input_state":1,"op":"sep_conv_3x3"},"branch_2":{"input_state":5,"op":"sep_conv_5x5"}}]},"reduction":{"pairs":[{"branch_1":{"input_state":1,"op":"avg_pool_3x3"},"branch_2":{"input_state":1,"op":"sep_conv_7x7"}},{"branch_1":{"input_state":2,"op":"sep_conv_3x3"},"branch_2":{"input_state":1,"op":"sep_conv_5x5"}},{"branch_1":{"input_state":1,"op":"sep_conv_5x5"},"branch_2":{"input_state":2,"op":"max_pool_3x3"}},{"branch_1":{"input_state":3,"op":"sep_conv_7x7"},"branch_2":{"input_state":0,"op":"sep_conv_7x7"}},{"branch_1":{"input_state":1,"op":"sep_conv_5x5"},"branch_2":{"input_state":5,"op":"conv_1x7_7x1"}}]}}</x:v>
      </x:c>
    </x:row>
    <x:row r="20">
      <x:c r="A20" s="151" t="str">
        <x:v>SA-RE</x:v>
      </x:c>
      <x:c r="B20" s="151" t="n">
        <x:v>2702</x:v>
      </x:c>
      <x:c r="C20" s="151" t="n">
        <x:v>1</x:v>
      </x:c>
      <x:c r="D20" s="151" t="n">
        <x:v>23</x:v>
      </x:c>
      <x:c r="E20" s="151" t="str">
        <x:v>evolution</x:v>
      </x:c>
      <x:c r="F20" s="151" t="str">
        <x:v>hidden_state</x:v>
      </x:c>
      <x:c r="G20" s="152" t="n">
        <x:v>0.8232</x:v>
      </x:c>
      <x:c r="H20" s="152" t="n">
        <x:v>0.8232</x:v>
      </x:c>
      <x:c r="I20" s="166" t="n">
        <x:v>698662</x:v>
      </x:c>
      <x:c r="J20" s="165" t="n">
        <x:v>129.82788430000073</x:v>
      </x:c>
      <x:c r="K20" s="151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</x:row>
    <x:row r="21">
      <x:c r="A21" s="151" t="str">
        <x:v>SA-RE</x:v>
      </x:c>
      <x:c r="B21" s="151" t="n">
        <x:v>2702</x:v>
      </x:c>
      <x:c r="C21" s="151" t="n">
        <x:v>2</x:v>
      </x:c>
      <x:c r="D21" s="151" t="n">
        <x:v>25</x:v>
      </x:c>
      <x:c r="E21" s="151" t="str">
        <x:v>evolution</x:v>
      </x:c>
      <x:c r="F21" s="151" t="str">
        <x:v>hidden_state</x:v>
      </x:c>
      <x:c r="G21" s="152" t="n">
        <x:v>0.8212</x:v>
      </x:c>
      <x:c r="H21" s="152" t="n">
        <x:v>0.8212</x:v>
      </x:c>
      <x:c r="I21" s="166" t="n">
        <x:v>698662</x:v>
      </x:c>
      <x:c r="J21" s="165" t="n">
        <x:v>110.06853879999836</x:v>
      </x:c>
      <x:c r="K21" s="151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0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</x:row>
    <x:row r="22">
      <x:c r="A22" s="151" t="str">
        <x:v>SA-RE</x:v>
      </x:c>
      <x:c r="B22" s="151" t="n">
        <x:v>2702</x:v>
      </x:c>
      <x:c r="C22" s="151" t="n">
        <x:v>3</x:v>
      </x:c>
      <x:c r="D22" s="151" t="n">
        <x:v>22</x:v>
      </x:c>
      <x:c r="E22" s="151" t="str">
        <x:v>evolution</x:v>
      </x:c>
      <x:c r="F22" s="151" t="str">
        <x:v>identity</x:v>
      </x:c>
      <x:c r="G22" s="152" t="n">
        <x:v>0.8192</x:v>
      </x:c>
      <x:c r="H22" s="152" t="n">
        <x:v>0.8192</x:v>
      </x:c>
      <x:c r="I22" s="166" t="n">
        <x:v>698662</x:v>
      </x:c>
      <x:c r="J22" s="165" t="n">
        <x:v>129.1905257999897</x:v>
      </x:c>
      <x:c r="K22" s="151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</x:row>
    <x:row r="23">
      <x:c r="A23" s="151" t="str">
        <x:v>SA-RE</x:v>
      </x:c>
      <x:c r="B23" s="151" t="n">
        <x:v>2702</x:v>
      </x:c>
      <x:c r="C23" s="151" t="n">
        <x:v>4</x:v>
      </x:c>
      <x:c r="D23" s="151" t="n">
        <x:v>13</x:v>
      </x:c>
      <x:c r="E23" s="151" t="str">
        <x:v>initialization</x:v>
      </x:c>
      <x:c r="F23" s="151" t="str">
        <x:v>random_initialization</x:v>
      </x:c>
      <x:c r="G23" s="152" t="n">
        <x:v>0.8186</x:v>
      </x:c>
      <x:c r="H23" s="152" t="n">
        <x:v>0.8186</x:v>
      </x:c>
      <x:c r="I23" s="166" t="n">
        <x:v>889738</x:v>
      </x:c>
      <x:c r="J23" s="165" t="n">
        <x:v>154.88042460000725</x:v>
      </x:c>
      <x:c r="K23" s="151" t="str">
        <x:v>{"normal":{"pairs":[{"branch_1":{"input_state":0,"op":"dil_sep_conv_3x3"},"branch_2":{"input_state":0,"op":"conv_1x7_7x1"}},{"branch_1":{"input_state":1,"op":"identity"},"branch_2":{"input_state":1,"op":"avg_pool_3x3"}},{"branch_1":{"input_state":0,"op":"max_pool_3x3"},"branch_2":{"input_state":0,"op":"avg_pool_3x3"}},{"branch_1":{"input_state":1,"op":"avg_pool_3x3"},"branch_2":{"input_state":2,"op":"sep_conv_3x3"}},{"branch_1":{"input_state":1,"op":"sep_conv_5x5"},"branch_2":{"input_state":1,"op":"conv_1x7_7x1"}}]},"reduction":{"pairs":[{"branch_1":{"input_state":0,"op":"conv_1x7_7x1"},"branch_2":{"input_state":0,"op":"dil_sep_conv_3x3"}},{"branch_1":{"input_state":0,"op":"conv_1x7_7x1"},"branch_2":{"input_state":0,"op":"sep_conv_5x5"}},{"branch_1":{"input_state":0,"op":"sep_conv_5x5"},"branch_2":{"input_state":1,"op":"sep_conv_3x3"}},{"branch_1":{"input_state":1,"op":"max_pool_3x3"},"branch_2":{"input_state":0,"op":"avg_pool_3x3"}},{"branch_1":{"input_state":1,"op":"dil_sep_conv_3x3"},"branch_2":{"input_state":2,"op":"sep_conv_3x3"}}]}}</x:v>
      </x:c>
    </x:row>
    <x:row r="24">
      <x:c r="A24" s="151" t="str">
        <x:v>SA-RE</x:v>
      </x:c>
      <x:c r="B24" s="151" t="n">
        <x:v>2702</x:v>
      </x:c>
      <x:c r="C24" s="151" t="n">
        <x:v>5</x:v>
      </x:c>
      <x:c r="D24" s="151" t="n">
        <x:v>21</x:v>
      </x:c>
      <x:c r="E24" s="151" t="str">
        <x:v>evolution</x:v>
      </x:c>
      <x:c r="F24" s="151" t="str">
        <x:v>hidden_state</x:v>
      </x:c>
      <x:c r="G24" s="152" t="n">
        <x:v>0.8172</x:v>
      </x:c>
      <x:c r="H24" s="152" t="n">
        <x:v>0.8172</x:v>
      </x:c>
      <x:c r="I24" s="166" t="n">
        <x:v>698662</x:v>
      </x:c>
      <x:c r="J24" s="165" t="n">
        <x:v>128.10289890001877</x:v>
      </x:c>
      <x:c r="K24" s="151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</x:row>
  </x:sheetData>
  <x:mergeCells>
    <x:mergeCell ref="A1:K2"/>
  </x:mergeCells>
  <x:pageMargins left="0.7" right="0.7" top="0.75" bottom="0.75" header="0.3" footer="0.3"/>
  <x:tableParts count="1">
    <x:tablePart xmlns:r="http://schemas.openxmlformats.org/officeDocument/2006/relationships" r:id="Rb635de4639284c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34" hidden="0" customWidth="1"/>
    <x:col min="8" max="8" width="34" hidden="0" customWidth="1"/>
    <x:col min="9" max="9" width="16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28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>
      <x:c r="A1" s="20" t="str">
        <x:v>method</x:v>
      </x:c>
      <x:c r="B1" s="21" t="str">
        <x:v>search_seed</x:v>
      </x:c>
      <x:c r="C1" s="21" t="str">
        <x:v>training_seed</x:v>
      </x:c>
      <x:c r="D1" s="21" t="str">
        <x:v>evaluation_index</x:v>
      </x:c>
      <x:c r="E1" s="21" t="str">
        <x:v>budget</x:v>
      </x:c>
      <x:c r="F1" s="21" t="str">
        <x:v>phase</x:v>
      </x:c>
      <x:c r="G1" s="21" t="str">
        <x:v>architecture</x:v>
      </x:c>
      <x:c r="H1" s="21" t="str">
        <x:v>parent_architecture</x:v>
      </x:c>
      <x:c r="I1" s="21" t="str">
        <x:v>mutation_type</x:v>
      </x:c>
      <x:c r="J1" s="21" t="str">
        <x:v>fitness</x:v>
      </x:c>
      <x:c r="K1" s="21" t="str">
        <x:v>final_val_accuracy</x:v>
      </x:c>
      <x:c r="L1" s="21" t="str">
        <x:v>observed_final_val_accuracy</x:v>
      </x:c>
      <x:c r="M1" s="21" t="str">
        <x:v>best_val_accuracy</x:v>
      </x:c>
      <x:c r="N1" s="21" t="str">
        <x:v>parameter_count</x:v>
      </x:c>
      <x:c r="O1" s="21" t="str">
        <x:v>training_time_seconds</x:v>
      </x:c>
      <x:c r="P1" s="21" t="str">
        <x:v>population_age_order</x:v>
      </x:c>
      <x:c r="Q1" s="21" t="str">
        <x:v>predicted_mu_before_training</x:v>
      </x:c>
      <x:c r="R1" s="21" t="str">
        <x:v>surrogate_training_size</x:v>
      </x:c>
      <x:c r="S1" s="21" t="str">
        <x:v>selected_candidate_index</x:v>
      </x:c>
      <x:c r="T1" s="22" t="str">
        <x:v>surrogate_training_mse</x:v>
      </x:c>
    </x:row>
    <x:row r="2">
      <x:c r="A2" t="str">
        <x:v>RE</x:v>
      </x:c>
      <x:c r="B2" t="n">
        <x:v>2701</x:v>
      </x:c>
      <x:c r="C2" t="n">
        <x:v>20260827</x:v>
      </x:c>
      <x:c r="D2" t="n">
        <x:v>1</x:v>
      </x:c>
      <x:c r="E2" t="n">
        <x:v>30</x:v>
      </x:c>
      <x:c r="F2" t="str">
        <x:v>initialization</x:v>
      </x:c>
      <x:c r="G2" t="str">
        <x:v>{"normal":{"pairs":[{"branch_1":{"input_state":1,"op":"sep_conv_7x7"},"branch_2":{"input_state":1,"op":"dil_sep_conv_3x3"}},{"branch_1":{"input_state":2,"op":"avg_pool_3x3"},"branch_2":{"input_state":0,"op":"avg_pool_3x3"}},{"branch_1":{"input_state":0,"op":"sep_conv_7x7"},"branch_2":{"input_state":2,"op":"sep_conv_7x7"}},{"branch_1":{"input_state":0,"op":"conv_1x7_7x1"},"branch_2":{"input_state":0,"op":"conv_1x7_7x1"}},{"branch_1":{"input_state":2,"op":"sep_conv_5x5"},"branch_2":{"input_state":4,"op":"sep_conv_3x3"}}]},"reduction":{"pairs":[{"branch_1":{"input_state":1,"op":"sep_conv_3x3"},"branch_2":{"input_state":1,"op":"conv_1x7_7x1"}},{"branch_1":{"input_state":1,"op":"dil_sep_conv_3x3"},"branch_2":{"input_state":2,"op":"avg_pool_3x3"}},{"branch_1":{"input_state":2,"op":"sep_conv_5x5"},"branch_2":{"input_state":3,"op":"dil_sep_conv_3x3"}},{"branch_1":{"input_state":1,"op":"max_pool_3x3"},"branch_2":{"input_state":1,"op":"sep_conv_3x3"}},{"branch_1":{"input_state":2,"op":"conv_1x7_7x1"},"branch_2":{"input_state":5,"op":"max_pool_3x3"}}]}}</x:v>
      </x:c>
      <x:c r="H2" t="str"/>
      <x:c r="I2" t="str">
        <x:v>random_initialization</x:v>
      </x:c>
      <x:c r="J2" s="15" t="n">
        <x:v>0.7066</x:v>
      </x:c>
      <x:c r="K2" s="15" t="n">
        <x:v>0.7066</x:v>
      </x:c>
      <x:c r="L2" s="15"/>
      <x:c r="M2" s="15" t="n">
        <x:v>0.7066</x:v>
      </x:c>
      <x:c r="N2" s="16" t="n">
        <x:v>1165114</x:v>
      </x:c>
      <x:c r="O2" s="17" t="n">
        <x:v>185.8877563999849</x:v>
      </x:c>
      <x:c r="P2" t="str">
        <x:v>{"ages_in_evaluations":[0],"oldest_to_youngest_evaluation_indices":[1]}</x:v>
      </x:c>
      <x:c r="Q2" s="18"/>
      <x:c r="R2"/>
      <x:c r="S2"/>
      <x:c r="T2" s="19"/>
    </x:row>
    <x:row r="3">
      <x:c r="A3" t="str">
        <x:v>RE</x:v>
      </x:c>
      <x:c r="B3" t="n">
        <x:v>2701</x:v>
      </x:c>
      <x:c r="C3" t="n">
        <x:v>20260828</x:v>
      </x:c>
      <x:c r="D3" t="n">
        <x:v>2</x:v>
      </x:c>
      <x:c r="E3" t="n">
        <x:v>30</x:v>
      </x:c>
      <x:c r="F3" t="str">
        <x:v>initialization</x:v>
      </x:c>
      <x:c r="G3" t="str">
        <x:v>{"normal":{"pairs":[{"branch_1":{"input_state":1,"op":"sep_conv_3x3"},"branch_2":{"input_state":1,"op":"sep_conv_3x3"}},{"branch_1":{"input_state":2,"op":"max_pool_3x3"},"branch_2":{"input_state":2,"op":"sep_conv_5x5"}},{"branch_1":{"input_state":3,"op":"sep_conv_5x5"},"branch_2":{"input_state":1,"op":"sep_conv_3x3"}},{"branch_1":{"input_state":3,"op":"sep_conv_3x3"},"branch_2":{"input_state":2,"op":"sep_conv_7x7"}},{"branch_1":{"input_state":2,"op":"sep_conv_7x7"},"branch_2":{"input_state":5,"op":"dil_sep_conv_3x3"}}]},"reduction":{"pairs":[{"branch_1":{"input_state":0,"op":"sep_conv_3x3"},"branch_2":{"input_state":1,"op":"avg_pool_3x3"}},{"branch_1":{"input_state":0,"op":"sep_conv_5x5"},"branch_2":{"input_state":1,"op":"sep_conv_7x7"}},{"branch_1":{"input_state":2,"op":"sep_conv_5x5"},"branch_2":{"input_state":3,"op":"sep_conv_3x3"}},{"branch_1":{"input_state":1,"op":"max_pool_3x3"},"branch_2":{"input_state":0,"op":"avg_pool_3x3"}},{"branch_1":{"input_state":2,"op":"sep_conv_7x7"},"branch_2":{"input_state":5,"op":"max_pool_3x3"}}]}}</x:v>
      </x:c>
      <x:c r="H3" t="str"/>
      <x:c r="I3" t="str">
        <x:v>random_initialization</x:v>
      </x:c>
      <x:c r="J3" s="15" t="n">
        <x:v>0.7572</x:v>
      </x:c>
      <x:c r="K3" s="15" t="n">
        <x:v>0.7572</x:v>
      </x:c>
      <x:c r="L3" s="15"/>
      <x:c r="M3" s="15" t="n">
        <x:v>0.7572</x:v>
      </x:c>
      <x:c r="N3" s="16" t="n">
        <x:v>1274914</x:v>
      </x:c>
      <x:c r="O3" s="17" t="n">
        <x:v>170.4123344999971</x:v>
      </x:c>
      <x:c r="P3" t="str">
        <x:v>{"ages_in_evaluations":[1,0],"oldest_to_youngest_evaluation_indices":[1,2]}</x:v>
      </x:c>
      <x:c r="Q3" s="18"/>
      <x:c r="R3"/>
      <x:c r="S3"/>
      <x:c r="T3" s="19"/>
    </x:row>
    <x:row r="4">
      <x:c r="A4" t="str">
        <x:v>RE</x:v>
      </x:c>
      <x:c r="B4" t="n">
        <x:v>2701</x:v>
      </x:c>
      <x:c r="C4" t="n">
        <x:v>20260829</x:v>
      </x:c>
      <x:c r="D4" t="n">
        <x:v>3</x:v>
      </x:c>
      <x:c r="E4" t="n">
        <x:v>30</x:v>
      </x:c>
      <x:c r="F4" t="str">
        <x:v>initialization</x:v>
      </x:c>
      <x:c r="G4" t="str">
        <x:v>{"normal":{"pairs":[{"branch_1":{"input_state":1,"op":"dil_sep_conv_3x3"},"branch_2":{"input_state":0,"op":"sep_conv_5x5"}},{"branch_1":{"input_state":0,"op":"avg_pool_3x3"},"branch_2":{"input_state":2,"op":"conv_1x7_7x1"}},{"branch_1":{"input_state":2,"op":"conv_1x7_7x1"},"branch_2":{"input_state":3,"op":"sep_conv_3x3"}},{"branch_1":{"input_state":1,"op":"identity"},"branch_2":{"input_state":0,"op":"max_pool_3x3"}},{"branch_1":{"input_state":5,"op":"sep_conv_3x3"},"branch_2":{"input_state":3,"op":"sep_conv_7x7"}}]},"reduction":{"pairs":[{"branch_1":{"input_state":1,"op":"sep_conv_7x7"},"branch_2":{"input_state":0,"op":"conv_1x7_7x1"}},{"branch_1":{"input_state":2,"op":"max_pool_3x3"},"branch_2":{"input_state":2,"op":"sep_conv_7x7"}},{"branch_1":{"input_state":0,"op":"sep_conv_7x7"},"branch_2":{"input_state":0,"op":"max_pool_3x3"}},{"branch_1":{"input_state":0,"op":"sep_conv_3x3"},"branch_2":{"input_state":0,"op":"avg_pool_3x3"}},{"branch_1":{"input_state":5,"op":"sep_conv_3x3"},"branch_2":{"input_state":2,"op":"sep_conv_5x5"}}]}}</x:v>
      </x:c>
      <x:c r="H4" t="str"/>
      <x:c r="I4" t="str">
        <x:v>random_initialization</x:v>
      </x:c>
      <x:c r="J4" s="15" t="n">
        <x:v>0.6988</x:v>
      </x:c>
      <x:c r="K4" s="15" t="n">
        <x:v>0.6988</x:v>
      </x:c>
      <x:c r="L4" s="15"/>
      <x:c r="M4" s="15" t="n">
        <x:v>0.6988</x:v>
      </x:c>
      <x:c r="N4" s="16" t="n">
        <x:v>967090</x:v>
      </x:c>
      <x:c r="O4" s="17" t="n">
        <x:v>157.43793039998857</x:v>
      </x:c>
      <x:c r="P4" t="str">
        <x:v>{"ages_in_evaluations":[2,1,0],"oldest_to_youngest_evaluation_indices":[1,2,3]}</x:v>
      </x:c>
      <x:c r="Q4" s="18"/>
      <x:c r="R4"/>
      <x:c r="S4"/>
      <x:c r="T4" s="19"/>
    </x:row>
    <x:row r="5">
      <x:c r="A5" t="str">
        <x:v>RE</x:v>
      </x:c>
      <x:c r="B5" t="n">
        <x:v>2701</x:v>
      </x:c>
      <x:c r="C5" t="n">
        <x:v>20260830</x:v>
      </x:c>
      <x:c r="D5" t="n">
        <x:v>4</x:v>
      </x:c>
      <x:c r="E5" t="n">
        <x:v>30</x:v>
      </x:c>
      <x:c r="F5" t="str">
        <x:v>initialization</x:v>
      </x:c>
      <x:c r="G5" t="str">
        <x:v>{"normal":{"pairs":[{"branch_1":{"input_state":1,"op":"identity"},"branch_2":{"input_state":0,"op":"avg_pool_3x3"}},{"branch_1":{"input_state":1,"op":"identity"},"branch_2":{"input_state":1,"op":"sep_conv_5x5"}},{"branch_1":{"input_state":1,"op":"dil_sep_conv_3x3"},"branch_2":{"input_state":2,"op":"sep_conv_3x3"}},{"branch_1":{"input_state":4,"op":"sep_conv_7x7"},"branch_2":{"input_state":1,"op":"sep_conv_7x7"}},{"branch_1":{"input_state":3,"op":"sep_conv_7x7"},"branch_2":{"input_state":1,"op":"identity"}}]},"reduction":{"pairs":[{"branch_1":{"input_state":0,"op":"max_pool_3x3"},"branch_2":{"input_state":0,"op":"sep_conv_5x5"}},{"branch_1":{"input_state":0,"op":"max_pool_3x3"},"branch_2":{"input_state":2,"op":"avg_pool_3x3"}},{"branch_1":{"input_state":2,"op":"sep_conv_5x5"},"branch_2":{"input_state":3,"op":"conv_1x7_7x1"}},{"branch_1":{"input_state":1,"op":"identity"},"branch_2":{"input_state":2,"op":"avg_pool_3x3"}},{"branch_1":{"input_state":2,"op":"sep_conv_5x5"},"branch_2":{"input_state":2,"op":"dil_sep_conv_3x3"}}]}}</x:v>
      </x:c>
      <x:c r="H5" t="str"/>
      <x:c r="I5" t="str">
        <x:v>random_initialization</x:v>
      </x:c>
      <x:c r="J5" s="15" t="n">
        <x:v>0.7056</x:v>
      </x:c>
      <x:c r="K5" s="15" t="n">
        <x:v>0.7056</x:v>
      </x:c>
      <x:c r="L5" s="15"/>
      <x:c r="M5" s="15" t="n">
        <x:v>0.7056</x:v>
      </x:c>
      <x:c r="N5" s="16" t="n">
        <x:v>962122</x:v>
      </x:c>
      <x:c r="O5" s="17" t="n">
        <x:v>137.40293399998336</x:v>
      </x:c>
      <x:c r="P5" t="str">
        <x:v>{"ages_in_evaluations":[3,2,1,0],"oldest_to_youngest_evaluation_indices":[1,2,3,4]}</x:v>
      </x:c>
      <x:c r="Q5" s="18"/>
      <x:c r="R5"/>
      <x:c r="S5"/>
      <x:c r="T5" s="19"/>
    </x:row>
    <x:row r="6">
      <x:c r="A6" t="str">
        <x:v>RE</x:v>
      </x:c>
      <x:c r="B6" t="n">
        <x:v>2701</x:v>
      </x:c>
      <x:c r="C6" t="n">
        <x:v>20260831</x:v>
      </x:c>
      <x:c r="D6" t="n">
        <x:v>5</x:v>
      </x:c>
      <x:c r="E6" t="n">
        <x:v>30</x:v>
      </x:c>
      <x:c r="F6" t="str">
        <x:v>initialization</x:v>
      </x:c>
      <x:c r="G6" t="str">
        <x:v>{"normal":{"pairs":[{"branch_1":{"input_state":0,"op":"sep_conv_3x3"},"branch_2":{"input_state":0,"op":"dil_sep_conv_3x3"}},{"branch_1":{"input_state":2,"op":"sep_conv_3x3"},"branch_2":{"input_state":2,"op":"avg_pool_3x3"}},{"branch_1":{"input_state":0,"op":"max_pool_3x3"},"branch_2":{"input_state":2,"op":"dil_sep_conv_3x3"}},{"branch_1":{"input_state":0,"op":"sep_conv_3x3"},"branch_2":{"input_state":1,"op":"identity"}},{"branch_1":{"input_state":5,"op":"avg_pool_3x3"},"branch_2":{"input_state":0,"op":"sep_conv_5x5"}}]},"reduction":{"pairs":[{"branch_1":{"input_state":0,"op":"max_pool_3x3"},"branch_2":{"input_state":0,"op":"sep_conv_5x5"}},{"branch_1":{"input_state":2,"op":"conv_1x7_7x1"},"branch_2":{"input_state":0,"op":"max_pool_3x3"}},{"branch_1":{"input_state":1,"op":"sep_conv_5x5"},"branch_2":{"input_state":2,"op":"conv_1x7_7x1"}},{"branch_1":{"input_state":1,"op":"max_pool_3x3"},"branch_2":{"input_state":3,"op":"sep_conv_5x5"}},{"branch_1":{"input_state":3,"op":"dil_sep_conv_3x3"},"branch_2":{"input_state":5,"op":"avg_pool_3x3"}}]}}</x:v>
      </x:c>
      <x:c r="H6" t="str"/>
      <x:c r="I6" t="str">
        <x:v>random_initialization</x:v>
      </x:c>
      <x:c r="J6" s="15" t="n">
        <x:v>0.8146</x:v>
      </x:c>
      <x:c r="K6" s="15" t="n">
        <x:v>0.8146</x:v>
      </x:c>
      <x:c r="L6" s="15"/>
      <x:c r="M6" s="15" t="n">
        <x:v>0.8146</x:v>
      </x:c>
      <x:c r="N6" s="16" t="n">
        <x:v>888994</x:v>
      </x:c>
      <x:c r="O6" s="17" t="n">
        <x:v>125.97213760000886</x:v>
      </x:c>
      <x:c r="P6" t="str">
        <x:v>{"ages_in_evaluations":[4,3,2,1,0],"oldest_to_youngest_evaluation_indices":[1,2,3,4,5]}</x:v>
      </x:c>
      <x:c r="Q6" s="18"/>
      <x:c r="R6"/>
      <x:c r="S6"/>
      <x:c r="T6" s="19"/>
    </x:row>
    <x:row r="7">
      <x:c r="A7" t="str">
        <x:v>RE</x:v>
      </x:c>
      <x:c r="B7" t="n">
        <x:v>2701</x:v>
      </x:c>
      <x:c r="C7" t="n">
        <x:v>20260832</x:v>
      </x:c>
      <x:c r="D7" t="n">
        <x:v>6</x:v>
      </x:c>
      <x:c r="E7" t="n">
        <x:v>30</x:v>
      </x:c>
      <x:c r="F7" t="str">
        <x:v>initialization</x:v>
      </x:c>
      <x:c r="G7" t="str">
        <x:v>{"normal":{"pairs":[{"branch_1":{"input_state":1,"op":"avg_pool_3x3"},"branch_2":{"input_state":1,"op":"sep_conv_7x7"}},{"branch_1":{"input_state":1,"op":"max_pool_3x3"},"branch_2":{"input_state":0,"op":"sep_conv_7x7"}},{"branch_1":{"input_state":2,"op":"sep_conv_5x5"},"branch_2":{"input_state":1,"op":"avg_pool_3x3"}},{"branch_1":{"input_state":4,"op":"sep_conv_7x7"},"branch_2":{"input_state":4,"op":"sep_conv_5x5"}},{"branch_1":{"input_state":0,"op":"conv_1x7_7x1"},"branch_2":{"input_state":1,"op":"sep_conv_7x7"}}]},"reduction":{"pairs":[{"branch_1":{"input_state":0,"op":"identity"},"branch_2":{"input_state":1,"op":"dil_sep_conv_3x3"}},{"branch_1":{"input_state":0,"op":"max_pool_3x3"},"branch_2":{"input_state":0,"op":"avg_pool_3x3"}},{"branch_1":{"input_state":2,"op":"conv_1x7_7x1"},"branch_2":{"input_state":3,"op":"sep_conv_5x5"}},{"branch_1":{"input_state":0,"op":"sep_conv_7x7"},"branch_2":{"input_state":3,"op":"max_pool_3x3"}},{"branch_1":{"input_state":4,"op":"max_pool_3x3"},"branch_2":{"input_state":4,"op":"sep_conv_3x3"}}]}}</x:v>
      </x:c>
      <x:c r="H7" t="str"/>
      <x:c r="I7" t="str">
        <x:v>random_initialization</x:v>
      </x:c>
      <x:c r="J7" s="15" t="n">
        <x:v>0.768</x:v>
      </x:c>
      <x:c r="K7" s="15" t="n">
        <x:v>0.768</x:v>
      </x:c>
      <x:c r="L7" s="15"/>
      <x:c r="M7" s="15" t="n">
        <x:v>0.768</x:v>
      </x:c>
      <x:c r="N7" s="16" t="n">
        <x:v>1115830</x:v>
      </x:c>
      <x:c r="O7" s="17" t="n">
        <x:v>171.2186589000048</x:v>
      </x:c>
      <x:c r="P7" t="str">
        <x:v>{"ages_in_evaluations":[5,4,3,2,1,0],"oldest_to_youngest_evaluation_indices":[1,2,3,4,5,6]}</x:v>
      </x:c>
      <x:c r="Q7" s="18"/>
      <x:c r="R7"/>
      <x:c r="S7"/>
      <x:c r="T7" s="19"/>
    </x:row>
    <x:row r="8">
      <x:c r="A8" t="str">
        <x:v>RE</x:v>
      </x:c>
      <x:c r="B8" t="n">
        <x:v>2701</x:v>
      </x:c>
      <x:c r="C8" t="n">
        <x:v>20260833</x:v>
      </x:c>
      <x:c r="D8" t="n">
        <x:v>7</x:v>
      </x:c>
      <x:c r="E8" t="n">
        <x:v>30</x:v>
      </x:c>
      <x:c r="F8" t="str">
        <x:v>initialization</x:v>
      </x:c>
      <x:c r="G8" t="str">
        <x:v>{"normal":{"pairs":[{"branch_1":{"input_state":0,"op":"conv_1x7_7x1"},"branch_2":{"input_state":0,"op":"avg_pool_3x3"}},{"branch_1":{"input_state":0,"op":"identity"},"branch_2":{"input_state":2,"op":"avg_pool_3x3"}},{"branch_1":{"input_state":2,"op":"sep_conv_5x5"},"branch_2":{"input_state":0,"op":"max_pool_3x3"}},{"branch_1":{"input_state":0,"op":"max_pool_3x3"},"branch_2":{"input_state":4,"op":"dil_sep_conv_3x3"}},{"branch_1":{"input_state":1,"op":"avg_pool_3x3"},"branch_2":{"input_state":0,"op":"sep_conv_3x3"}}]},"reduction":{"pairs":[{"branch_1":{"input_state":1,"op":"max_pool_3x3"},"branch_2":{"input_state":1,"op":"dil_sep_conv_3x3"}},{"branch_1":{"input_state":1,"op":"sep_conv_5x5"},"branch_2":{"input_state":1,"op":"avg_pool_3x3"}},{"branch_1":{"input_state":3,"op":"identity"},"branch_2":{"input_state":2,"op":"sep_conv_7x7"}},{"branch_1":{"input_state":1,"op":"max_pool_3x3"},"branch_2":{"input_state":2,"op":"sep_conv_5x5"}},{"branch_1":{"input_state":0,"op":"sep_conv_7x7"},"branch_2":{"input_state":5,"op":"max_pool_3x3"}}]}}</x:v>
      </x:c>
      <x:c r="H8" t="str"/>
      <x:c r="I8" t="str">
        <x:v>random_initialization</x:v>
      </x:c>
      <x:c r="J8" s="15" t="n">
        <x:v>0.8284</x:v>
      </x:c>
      <x:c r="K8" s="15" t="n">
        <x:v>0.8284</x:v>
      </x:c>
      <x:c r="L8" s="15"/>
      <x:c r="M8" s="15" t="n">
        <x:v>0.8284</x:v>
      </x:c>
      <x:c r="N8" s="16" t="n">
        <x:v>701614</x:v>
      </x:c>
      <x:c r="O8" s="17" t="n">
        <x:v>112.9363051999826</x:v>
      </x:c>
      <x:c r="P8" t="str">
        <x:v>{"ages_in_evaluations":[6,5,4,3,2,1,0],"oldest_to_youngest_evaluation_indices":[1,2,3,4,5,6,7]}</x:v>
      </x:c>
      <x:c r="Q8" s="18"/>
      <x:c r="R8"/>
      <x:c r="S8"/>
      <x:c r="T8" s="19"/>
    </x:row>
    <x:row r="9">
      <x:c r="A9" t="str">
        <x:v>RE</x:v>
      </x:c>
      <x:c r="B9" t="n">
        <x:v>2701</x:v>
      </x:c>
      <x:c r="C9" t="n">
        <x:v>20260834</x:v>
      </x:c>
      <x:c r="D9" t="n">
        <x:v>8</x:v>
      </x:c>
      <x:c r="E9" t="n">
        <x:v>30</x:v>
      </x:c>
      <x:c r="F9" t="str">
        <x:v>initialization</x:v>
      </x:c>
      <x:c r="G9" t="str">
        <x:v>{"normal":{"pairs":[{"branch_1":{"input_state":1,"op":"conv_1x7_7x1"},"branch_2":{"input_state":0,"op":"identity"}},{"branch_1":{"input_state":2,"op":"identity"},"branch_2":{"input_state":1,"op":"dil_sep_conv_3x3"}},{"branch_1":{"input_state":2,"op":"conv_1x7_7x1"},"branch_2":{"input_state":2,"op":"sep_conv_5x5"}},{"branch_1":{"input_state":0,"op":"conv_1x7_7x1"},"branch_2":{"input_state":2,"op":"dil_sep_conv_3x3"}},{"branch_1":{"input_state":4,"op":"sep_conv_3x3"},"branch_2":{"input_state":4,"op":"avg_pool_3x3"}}]},"reduction":{"pairs":[{"branch_1":{"input_state":1,"op":"conv_1x7_7x1"},"branch_2":{"input_state":1,"op":"sep_conv_7x7"}},{"branch_1":{"input_state":0,"op":"sep_conv_3x3"},"branch_2":{"input_state":1,"op":"conv_1x7_7x1"}},{"branch_1":{"input_state":3,"op":"sep_conv_3x3"},"branch_2":{"input_state":0,"op":"conv_1x7_7x1"}},{"branch_1":{"input_state":3,"op":"dil_sep_conv_3x3"},"branch_2":{"input_state":0,"op":"sep_conv_5x5"}},{"branch_1":{"input_state":4,"op":"dil_sep_conv_3x3"},"branch_2":{"input_state":4,"op":"sep_conv_7x7"}}]}}</x:v>
      </x:c>
      <x:c r="H9" t="str"/>
      <x:c r="I9" t="str">
        <x:v>random_initialization</x:v>
      </x:c>
      <x:c r="J9" s="15" t="n">
        <x:v>0.6672</x:v>
      </x:c>
      <x:c r="K9" s="15" t="n">
        <x:v>0.6672</x:v>
      </x:c>
      <x:c r="L9" s="15"/>
      <x:c r="M9" s="15" t="n">
        <x:v>0.6672</x:v>
      </x:c>
      <x:c r="N9" s="16" t="n">
        <x:v>1008478</x:v>
      </x:c>
      <x:c r="O9" s="17" t="n">
        <x:v>171.9116195999959</x:v>
      </x:c>
      <x:c r="P9" t="str">
        <x:v>{"ages_in_evaluations":[7,6,5,4,3,2,1,0],"oldest_to_youngest_evaluation_indices":[1,2,3,4,5,6,7,8]}</x:v>
      </x:c>
      <x:c r="Q9" s="18"/>
      <x:c r="R9"/>
      <x:c r="S9"/>
      <x:c r="T9" s="19"/>
    </x:row>
    <x:row r="10">
      <x:c r="A10" t="str">
        <x:v>RE</x:v>
      </x:c>
      <x:c r="B10" t="n">
        <x:v>2701</x:v>
      </x:c>
      <x:c r="C10" t="n">
        <x:v>20260835</x:v>
      </x:c>
      <x:c r="D10" t="n">
        <x:v>9</x:v>
      </x:c>
      <x:c r="E10" t="n">
        <x:v>30</x:v>
      </x:c>
      <x:c r="F10" t="str">
        <x:v>initialization</x:v>
      </x:c>
      <x:c r="G10" t="str">
        <x:v>{"normal":{"pairs":[{"branch_1":{"input_state":0,"op":"sep_conv_5x5"},"branch_2":{"input_state":1,"op":"sep_conv_7x7"}},{"branch_1":{"input_state":2,"op":"identity"},"branch_2":{"input_state":2,"op":"sep_conv_5x5"}},{"branch_1":{"input_state":0,"op":"identity"},"branch_2":{"input_state":3,"op":"conv_1x7_7x1"}},{"branch_1":{"input_state":2,"op":"sep_conv_7x7"},"branch_2":{"input_state":2,"op":"sep_conv_3x3"}},{"branch_1":{"input_state":1,"op":"dil_sep_conv_3x3"},"branch_2":{"input_state":0,"op":"conv_1x7_7x1"}}]},"reduction":{"pairs":[{"branch_1":{"input_state":0,"op":"avg_pool_3x3"},"branch_2":{"input_state":0,"op":"max_pool_3x3"}},{"branch_1":{"input_state":2,"op":"avg_pool_3x3"},"branch_2":{"input_state":1,"op":"sep_conv_5x5"}},{"branch_1":{"input_state":1,"op":"sep_conv_3x3"},"branch_2":{"input_state":2,"op":"sep_conv_5x5"}},{"branch_1":{"input_state":0,"op":"avg_pool_3x3"},"branch_2":{"input_state":0,"op":"avg_pool_3x3"}},{"branch_1":{"input_state":3,"op":"avg_pool_3x3"},"branch_2":{"input_state":5,"op":"sep_conv_5x5"}}]}}</x:v>
      </x:c>
      <x:c r="H10" t="str"/>
      <x:c r="I10" t="str">
        <x:v>random_initialization</x:v>
      </x:c>
      <x:c r="J10" s="15" t="n">
        <x:v>0.7226</x:v>
      </x:c>
      <x:c r="K10" s="15" t="n">
        <x:v>0.7226</x:v>
      </x:c>
      <x:c r="L10" s="15"/>
      <x:c r="M10" s="15" t="n">
        <x:v>0.7226</x:v>
      </x:c>
      <x:c r="N10" s="16" t="n">
        <x:v>1056394</x:v>
      </x:c>
      <x:c r="O10" s="17" t="n">
        <x:v>163.2862010000099</x:v>
      </x:c>
      <x:c r="P10" t="str">
        <x:v>{"ages_in_evaluations":[8,7,6,5,4,3,2,1,0],"oldest_to_youngest_evaluation_indices":[1,2,3,4,5,6,7,8,9]}</x:v>
      </x:c>
      <x:c r="Q10" s="18"/>
      <x:c r="R10"/>
      <x:c r="S10"/>
      <x:c r="T10" s="19"/>
    </x:row>
    <x:row r="11">
      <x:c r="A11" t="str">
        <x:v>RE</x:v>
      </x:c>
      <x:c r="B11" t="n">
        <x:v>2701</x:v>
      </x:c>
      <x:c r="C11" t="n">
        <x:v>20260836</x:v>
      </x:c>
      <x:c r="D11" t="n">
        <x:v>10</x:v>
      </x:c>
      <x:c r="E11" t="n">
        <x:v>30</x:v>
      </x:c>
      <x:c r="F11" t="str">
        <x:v>initialization</x:v>
      </x:c>
      <x:c r="G11" t="str">
        <x:v>{"normal":{"pairs":[{"branch_1":{"input_state":0,"op":"sep_conv_5x5"},"branch_2":{"input_state":0,"op":"avg_pool_3x3"}},{"branch_1":{"input_state":1,"op":"sep_conv_3x3"},"branch_2":{"input_state":1,"op":"avg_pool_3x3"}},{"branch_1":{"input_state":1,"op":"identity"},"branch_2":{"input_state":1,"op":"avg_pool_3x3"}},{"branch_1":{"input_state":1,"op":"sep_conv_3x3"},"branch_2":{"input_state":3,"op":"dil_sep_conv_3x3"}},{"branch_1":{"input_state":1,"op":"max_pool_3x3"},"branch_2":{"input_state":3,"op":"identity"}}]},"reduction":{"pairs":[{"branch_1":{"input_state":1,"op":"avg_pool_3x3"},"branch_2":{"input_state":1,"op":"avg_pool_3x3"}},{"branch_1":{"input_state":0,"op":"identity"},"branch_2":{"input_state":0,"op":"avg_pool_3x3"}},{"branch_1":{"input_state":2,"op":"conv_1x7_7x1"},"branch_2":{"input_state":3,"op":"sep_conv_3x3"}},{"branch_1":{"input_state":2,"op":"sep_conv_5x5"},"branch_2":{"input_state":2,"op":"conv_1x7_7x1"}},{"branch_1":{"input_state":3,"op":"sep_conv_3x3"},"branch_2":{"input_state":3,"op":"dil_sep_conv_3x3"}}]}}</x:v>
      </x:c>
      <x:c r="H11" t="str"/>
      <x:c r="I11" t="str">
        <x:v>random_initialization</x:v>
      </x:c>
      <x:c r="J11" s="15" t="n">
        <x:v>0.809</x:v>
      </x:c>
      <x:c r="K11" s="15" t="n">
        <x:v>0.809</x:v>
      </x:c>
      <x:c r="L11" s="15"/>
      <x:c r="M11" s="15" t="n">
        <x:v>0.809</x:v>
      </x:c>
      <x:c r="N11" s="16" t="n">
        <x:v>801826</x:v>
      </x:c>
      <x:c r="O11" s="17" t="n">
        <x:v>110.32853589998558</x:v>
      </x:c>
      <x:c r="P11" t="str">
        <x:v>{"ages_in_evaluations":[9,8,7,6,5,4,3,2,1,0],"oldest_to_youngest_evaluation_indices":[1,2,3,4,5,6,7,8,9,10]}</x:v>
      </x:c>
      <x:c r="Q11" s="18"/>
      <x:c r="R11"/>
      <x:c r="S11"/>
      <x:c r="T11" s="19"/>
    </x:row>
    <x:row r="12">
      <x:c r="A12" t="str">
        <x:v>RE</x:v>
      </x:c>
      <x:c r="B12" t="n">
        <x:v>2701</x:v>
      </x:c>
      <x:c r="C12" t="n">
        <x:v>20260837</x:v>
      </x:c>
      <x:c r="D12" t="n">
        <x:v>11</x:v>
      </x:c>
      <x:c r="E12" t="n">
        <x:v>30</x:v>
      </x:c>
      <x:c r="F12" t="str">
        <x:v>initialization</x:v>
      </x:c>
      <x:c r="G12" t="str">
        <x:v>{"normal":{"pairs":[{"branch_1":{"input_state":1,"op":"dil_sep_conv_3x3"},"branch_2":{"input_state":0,"op":"dil_sep_conv_3x3"}},{"branch_1":{"input_state":2,"op":"avg_pool_3x3"},"branch_2":{"input_state":0,"op":"sep_conv_5x5"}},{"branch_1":{"input_state":2,"op":"avg_pool_3x3"},"branch_2":{"input_state":1,"op":"identity"}},{"branch_1":{"input_state":2,"op":"conv_1x7_7x1"},"branch_2":{"input_state":1,"op":"dil_sep_conv_3x3"}},{"branch_1":{"input_state":0,"op":"avg_pool_3x3"},"branch_2":{"input_state":3,"op":"max_pool_3x3"}}]},"reduction":{"pairs":[{"branch_1":{"input_state":1,"op":"sep_conv_7x7"},"branch_2":{"input_state":0,"op":"conv_1x7_7x1"}},{"branch_1":{"input_state":2,"op":"identity"},"branch_2":{"input_state":2,"op":"identity"}},{"branch_1":{"input_state":1,"op":"sep_conv_3x3"},"branch_2":{"input_state":0,"op":"conv_1x7_7x1"}},{"branch_1":{"input_state":1,"op":"dil_sep_conv_3x3"},"branch_2":{"input_state":2,"op":"sep_conv_5x5"}},{"branch_1":{"input_state":2,"op":"dil_sep_conv_3x3"},"branch_2":{"input_state":5,"op":"sep_conv_3x3"}}]}}</x:v>
      </x:c>
      <x:c r="H12" t="str"/>
      <x:c r="I12" t="str">
        <x:v>random_initialization</x:v>
      </x:c>
      <x:c r="J12" s="15" t="n">
        <x:v>0.7654</x:v>
      </x:c>
      <x:c r="K12" s="15" t="n">
        <x:v>0.7654</x:v>
      </x:c>
      <x:c r="L12" s="15"/>
      <x:c r="M12" s="15" t="n">
        <x:v>0.7654</x:v>
      </x:c>
      <x:c r="N12" s="16" t="n">
        <x:v>851086</x:v>
      </x:c>
      <x:c r="O12" s="17" t="n">
        <x:v>127.05522599999676</x:v>
      </x:c>
      <x:c r="P12" t="str">
        <x:v>{"ages_in_evaluations":[10,9,8,7,6,5,4,3,2,1,0],"oldest_to_youngest_evaluation_indices":[1,2,3,4,5,6,7,8,9,10,11]}</x:v>
      </x:c>
      <x:c r="Q12" s="18"/>
      <x:c r="R12"/>
      <x:c r="S12"/>
      <x:c r="T12" s="19"/>
    </x:row>
    <x:row r="13">
      <x:c r="A13" t="str">
        <x:v>RE</x:v>
      </x:c>
      <x:c r="B13" t="n">
        <x:v>2701</x:v>
      </x:c>
      <x:c r="C13" t="n">
        <x:v>20260838</x:v>
      </x:c>
      <x:c r="D13" t="n">
        <x:v>12</x:v>
      </x:c>
      <x:c r="E13" t="n">
        <x:v>30</x:v>
      </x:c>
      <x:c r="F13" t="str">
        <x:v>initialization</x:v>
      </x:c>
      <x:c r="G13" t="str">
        <x:v>{"normal":{"pairs":[{"branch_1":{"input_state":0,"op":"sep_conv_7x7"},"branch_2":{"input_state":1,"op":"sep_conv_3x3"}},{"branch_1":{"input_state":0,"op":"identity"},"branch_2":{"input_state":1,"op":"sep_conv_7x7"}},{"branch_1":{"input_state":3,"op":"dil_sep_conv_3x3"},"branch_2":{"input_state":2,"op":"sep_conv_5x5"}},{"branch_1":{"input_state":3,"op":"avg_pool_3x3"},"branch_2":{"input_state":1,"op":"dil_sep_conv_3x3"}},{"branch_1":{"input_state":5,"op":"conv_1x7_7x1"},"branch_2":{"input_state":3,"op":"avg_pool_3x3"}}]},"reduction":{"pairs":[{"branch_1":{"input_state":0,"op":"dil_sep_conv_3x3"},"branch_2":{"input_state":0,"op":"conv_1x7_7x1"}},{"branch_1":{"input_state":0,"op":"max_pool_3x3"},"branch_2":{"input_state":2,"op":"max_pool_3x3"}},{"branch_1":{"input_state":1,"op":"max_pool_3x3"},"branch_2":{"input_state":0,"op":"dil_sep_conv_3x3"}},{"branch_1":{"input_state":0,"op":"dil_sep_conv_3x3"},"branch_2":{"input_state":2,"op":"sep_conv_5x5"}},{"branch_1":{"input_state":3,"op":"avg_pool_3x3"},"branch_2":{"input_state":5,"op":"dil_sep_conv_3x3"}}]}}</x:v>
      </x:c>
      <x:c r="H13" t="str"/>
      <x:c r="I13" t="str">
        <x:v>random_initialization</x:v>
      </x:c>
      <x:c r="J13" s="15" t="n">
        <x:v>0.7112</x:v>
      </x:c>
      <x:c r="K13" s="15" t="n">
        <x:v>0.7112</x:v>
      </x:c>
      <x:c r="L13" s="15"/>
      <x:c r="M13" s="15" t="n">
        <x:v>0.7112</x:v>
      </x:c>
      <x:c r="N13" s="16" t="n">
        <x:v>955606</x:v>
      </x:c>
      <x:c r="O13" s="17" t="n">
        <x:v>148.32820170000196</x:v>
      </x:c>
      <x:c r="P13" t="str">
        <x:v>{"ages_in_evaluations":[11,10,9,8,7,6,5,4,3,2,1,0],"oldest_to_youngest_evaluation_indices":[1,2,3,4,5,6,7,8,9,10,11,12]}</x:v>
      </x:c>
      <x:c r="Q13" s="18"/>
      <x:c r="R13"/>
      <x:c r="S13"/>
      <x:c r="T13" s="19"/>
    </x:row>
    <x:row r="14">
      <x:c r="A14" t="str">
        <x:v>RE</x:v>
      </x:c>
      <x:c r="B14" t="n">
        <x:v>2701</x:v>
      </x:c>
      <x:c r="C14" t="n">
        <x:v>20260839</x:v>
      </x:c>
      <x:c r="D14" t="n">
        <x:v>13</x:v>
      </x:c>
      <x:c r="E14" t="n">
        <x:v>30</x:v>
      </x:c>
      <x:c r="F14" t="str">
        <x:v>initialization</x:v>
      </x:c>
      <x:c r="G14" t="str">
        <x:v>{"normal":{"pairs":[{"branch_1":{"input_state":0,"op":"identity"},"branch_2":{"input_state":1,"op":"dil_sep_conv_3x3"}},{"branch_1":{"input_state":2,"op":"dil_sep_conv_3x3"},"branch_2":{"input_state":0,"op":"conv_1x7_7x1"}},{"branch_1":{"input_state":2,"op":"conv_1x7_7x1"},"branch_2":{"input_state":0,"op":"sep_conv_5x5"}},{"branch_1":{"input_state":2,"op":"dil_sep_conv_3x3"},"branch_2":{"input_state":3,"op":"avg_pool_3x3"}},{"branch_1":{"input_state":4,"op":"identity"},"branch_2":{"input_state":3,"op":"dil_sep_conv_3x3"}}]},"reduction":{"pairs":[{"branch_1":{"input_state":1,"op":"dil_sep_conv_3x3"},"branch_2":{"input_state":0,"op":"max_pool_3x3"}},{"branch_1":{"input_state":2,"op":"max_pool_3x3"},"branch_2":{"input_state":0,"op":"sep_conv_5x5"}},{"branch_1":{"input_state":2,"op":"conv_1x7_7x1"},"branch_2":{"input_state":0,"op":"conv_1x7_7x1"}},{"branch_1":{"input_state":0,"op":"sep_conv_3x3"},"branch_2":{"input_state":4,"op":"sep_conv_5x5"}},{"branch_1":{"input_state":5,"op":"max_pool_3x3"},"branch_2":{"input_state":3,"op":"identity"}}]}}</x:v>
      </x:c>
      <x:c r="H14" t="str"/>
      <x:c r="I14" t="str">
        <x:v>random_initialization</x:v>
      </x:c>
      <x:c r="J14" s="15" t="n">
        <x:v>0.7554</x:v>
      </x:c>
      <x:c r="K14" s="15" t="n">
        <x:v>0.7554</x:v>
      </x:c>
      <x:c r="L14" s="15"/>
      <x:c r="M14" s="15" t="n">
        <x:v>0.7554</x:v>
      </x:c>
      <x:c r="N14" s="16" t="n">
        <x:v>802858</x:v>
      </x:c>
      <x:c r="O14" s="17" t="n">
        <x:v>167.26699070000905</x:v>
      </x:c>
      <x:c r="P14" t="str">
        <x:v>{"ages_in_evaluations":[12,11,10,9,8,7,6,5,4,3,2,1,0],"oldest_to_youngest_evaluation_indices":[1,2,3,4,5,6,7,8,9,10,11,12,13]}</x:v>
      </x:c>
      <x:c r="Q14" s="18"/>
      <x:c r="R14"/>
      <x:c r="S14"/>
      <x:c r="T14" s="19"/>
    </x:row>
    <x:row r="15">
      <x:c r="A15" t="str">
        <x:v>RE</x:v>
      </x:c>
      <x:c r="B15" t="n">
        <x:v>2701</x:v>
      </x:c>
      <x:c r="C15" t="n">
        <x:v>20260840</x:v>
      </x:c>
      <x:c r="D15" t="n">
        <x:v>14</x:v>
      </x:c>
      <x:c r="E15" t="n">
        <x:v>30</x:v>
      </x:c>
      <x:c r="F15" t="str">
        <x:v>initialization</x:v>
      </x:c>
      <x:c r="G15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  <x:c r="H15" t="str"/>
      <x:c r="I15" t="str">
        <x:v>random_initialization</x:v>
      </x:c>
      <x:c r="J15" s="15" t="n">
        <x:v>0.819</x:v>
      </x:c>
      <x:c r="K15" s="15" t="n">
        <x:v>0.819</x:v>
      </x:c>
      <x:c r="L15" s="15"/>
      <x:c r="M15" s="15" t="n">
        <x:v>0.819</x:v>
      </x:c>
      <x:c r="N15" s="16" t="n">
        <x:v>690274</x:v>
      </x:c>
      <x:c r="O15" s="17" t="n">
        <x:v>98.97087920000196</x:v>
      </x:c>
      <x:c r="P15" t="str">
        <x:v>{"ages_in_evaluations":[13,12,11,10,9,8,7,6,5,4,3,2,1,0],"oldest_to_youngest_evaluation_indices":[1,2,3,4,5,6,7,8,9,10,11,12,13,14]}</x:v>
      </x:c>
      <x:c r="Q15" s="18"/>
      <x:c r="R15"/>
      <x:c r="S15"/>
      <x:c r="T15" s="19"/>
    </x:row>
    <x:row r="16">
      <x:c r="A16" t="str">
        <x:v>RE</x:v>
      </x:c>
      <x:c r="B16" t="n">
        <x:v>2701</x:v>
      </x:c>
      <x:c r="C16" t="n">
        <x:v>20260841</x:v>
      </x:c>
      <x:c r="D16" t="n">
        <x:v>15</x:v>
      </x:c>
      <x:c r="E16" t="n">
        <x:v>30</x:v>
      </x:c>
      <x:c r="F16" t="str">
        <x:v>initialization</x:v>
      </x:c>
      <x:c r="G16" t="str">
        <x:v>{"normal":{"pairs":[{"branch_1":{"input_state":0,"op":"identity"},"branch_2":{"input_state":1,"op":"dil_sep_conv_3x3"}},{"branch_1":{"input_state":0,"op":"dil_sep_conv_3x3"},"branch_2":{"input_state":1,"op":"avg_pool_3x3"}},{"branch_1":{"input_state":2,"op":"sep_conv_3x3"},"branch_2":{"input_state":3,"op":"sep_conv_3x3"}},{"branch_1":{"input_state":2,"op":"dil_sep_conv_3x3"},"branch_2":{"input_state":4,"op":"dil_sep_conv_3x3"}},{"branch_1":{"input_state":3,"op":"dil_sep_conv_3x3"},"branch_2":{"input_state":0,"op":"conv_1x7_7x1"}}]},"reduction":{"pairs":[{"branch_1":{"input_state":0,"op":"sep_conv_3x3"},"branch_2":{"input_state":0,"op":"avg_pool_3x3"}},{"branch_1":{"input_state":1,"op":"dil_sep_conv_3x3"},"branch_2":{"input_state":0,"op":"max_pool_3x3"}},{"branch_1":{"input_state":1,"op":"identity"},"branch_2":{"input_state":1,"op":"sep_conv_3x3"}},{"branch_1":{"input_state":3,"op":"sep_conv_3x3"},"branch_2":{"input_state":3,"op":"sep_conv_5x5"}},{"branch_1":{"input_state":3,"op":"conv_1x7_7x1"},"branch_2":{"input_state":2,"op":"dil_sep_conv_3x3"}}]}}</x:v>
      </x:c>
      <x:c r="H16" t="str"/>
      <x:c r="I16" t="str">
        <x:v>random_initialization</x:v>
      </x:c>
      <x:c r="J16" s="15" t="n">
        <x:v>0.6932</x:v>
      </x:c>
      <x:c r="K16" s="15" t="n">
        <x:v>0.6932</x:v>
      </x:c>
      <x:c r="L16" s="15"/>
      <x:c r="M16" s="15" t="n">
        <x:v>0.6932</x:v>
      </x:c>
      <x:c r="N16" s="16" t="n">
        <x:v>1003558</x:v>
      </x:c>
      <x:c r="O16" s="17" t="n">
        <x:v>148.56277570000384</x:v>
      </x:c>
      <x:c r="P16" t="str">
        <x:v>{"ages_in_evaluations":[14,13,12,11,10,9,8,7,6,5,4,3,2,1,0],"oldest_to_youngest_evaluation_indices":[1,2,3,4,5,6,7,8,9,10,11,12,13,14,15]}</x:v>
      </x:c>
      <x:c r="Q16" s="18"/>
      <x:c r="R16"/>
      <x:c r="S16"/>
      <x:c r="T16" s="19"/>
    </x:row>
    <x:row r="17">
      <x:c r="A17" t="str">
        <x:v>RE</x:v>
      </x:c>
      <x:c r="B17" t="n">
        <x:v>2701</x:v>
      </x:c>
      <x:c r="C17" t="n">
        <x:v>20260842</x:v>
      </x:c>
      <x:c r="D17" t="n">
        <x:v>16</x:v>
      </x:c>
      <x:c r="E17" t="n">
        <x:v>30</x:v>
      </x:c>
      <x:c r="F17" t="str">
        <x:v>initialization</x:v>
      </x:c>
      <x:c r="G17" t="str">
        <x:v>{"normal":{"pairs":[{"branch_1":{"input_state":1,"op":"dil_sep_conv_3x3"},"branch_2":{"input_state":0,"op":"dil_sep_conv_3x3"}},{"branch_1":{"input_state":1,"op":"conv_1x7_7x1"},"branch_2":{"input_state":1,"op":"conv_1x7_7x1"}},{"branch_1":{"input_state":3,"op":"identity"},"branch_2":{"input_state":2,"op":"identity"}},{"branch_1":{"input_state":4,"op":"avg_pool_3x3"},"branch_2":{"input_state":2,"op":"identity"}},{"branch_1":{"input_state":3,"op":"sep_conv_5x5"},"branch_2":{"input_state":1,"op":"max_pool_3x3"}}]},"reduction":{"pairs":[{"branch_1":{"input_state":0,"op":"sep_conv_7x7"},"branch_2":{"input_state":1,"op":"sep_conv_5x5"}},{"branch_1":{"input_state":0,"op":"avg_pool_3x3"},"branch_2":{"input_state":2,"op":"avg_pool_3x3"}},{"branch_1":{"input_state":1,"op":"avg_pool_3x3"},"branch_2":{"input_state":0,"op":"sep_conv_3x3"}},{"branch_1":{"input_state":3,"op":"identity"},"branch_2":{"input_state":4,"op":"dil_sep_conv_3x3"}},{"branch_1":{"input_state":2,"op":"identity"},"branch_2":{"input_state":1,"op":"sep_conv_5x5"}}]}}</x:v>
      </x:c>
      <x:c r="H17" t="str"/>
      <x:c r="I17" t="str">
        <x:v>random_initialization</x:v>
      </x:c>
      <x:c r="J17" s="15" t="n">
        <x:v>0.7486</x:v>
      </x:c>
      <x:c r="K17" s="15" t="n">
        <x:v>0.7486</x:v>
      </x:c>
      <x:c r="L17" s="15"/>
      <x:c r="M17" s="15" t="n">
        <x:v>0.7486</x:v>
      </x:c>
      <x:c r="N17" s="16" t="n">
        <x:v>675418</x:v>
      </x:c>
      <x:c r="O17" s="17" t="n">
        <x:v>119.91601730001275</x:v>
      </x:c>
      <x:c r="P17" t="str">
        <x:v>{"ages_in_evaluations":[15,14,13,12,11,10,9,8,7,6,5,4,3,2,1,0],"oldest_to_youngest_evaluation_indices":[1,2,3,4,5,6,7,8,9,10,11,12,13,14,15,16]}</x:v>
      </x:c>
      <x:c r="Q17" s="18"/>
      <x:c r="R17"/>
      <x:c r="S17"/>
      <x:c r="T17" s="19"/>
    </x:row>
    <x:row r="18">
      <x:c r="A18" t="str">
        <x:v>RE</x:v>
      </x:c>
      <x:c r="B18" t="n">
        <x:v>2701</x:v>
      </x:c>
      <x:c r="C18" t="n">
        <x:v>20260843</x:v>
      </x:c>
      <x:c r="D18" t="n">
        <x:v>17</x:v>
      </x:c>
      <x:c r="E18" t="n">
        <x:v>30</x:v>
      </x:c>
      <x:c r="F18" t="str">
        <x:v>initialization</x:v>
      </x:c>
      <x:c r="G18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H18" t="str"/>
      <x:c r="I18" t="str">
        <x:v>random_initialization</x:v>
      </x:c>
      <x:c r="J18" s="15" t="n">
        <x:v>0.822</x:v>
      </x:c>
      <x:c r="K18" s="15" t="n">
        <x:v>0.822</x:v>
      </x:c>
      <x:c r="L18" s="15"/>
      <x:c r="M18" s="15" t="n">
        <x:v>0.822</x:v>
      </x:c>
      <x:c r="N18" s="16" t="n">
        <x:v>945214</x:v>
      </x:c>
      <x:c r="O18" s="17" t="n">
        <x:v>132.68531359999906</x:v>
      </x:c>
      <x:c r="P18" t="str">
        <x:v>{"ages_in_evaluations":[16,15,14,13,12,11,10,9,8,7,6,5,4,3,2,1,0],"oldest_to_youngest_evaluation_indices":[1,2,3,4,5,6,7,8,9,10,11,12,13,14,15,16,17]}</x:v>
      </x:c>
      <x:c r="Q18" s="18"/>
      <x:c r="R18"/>
      <x:c r="S18"/>
      <x:c r="T18" s="19"/>
    </x:row>
    <x:row r="19">
      <x:c r="A19" t="str">
        <x:v>RE</x:v>
      </x:c>
      <x:c r="B19" t="n">
        <x:v>2701</x:v>
      </x:c>
      <x:c r="C19" t="n">
        <x:v>20260844</x:v>
      </x:c>
      <x:c r="D19" t="n">
        <x:v>18</x:v>
      </x:c>
      <x:c r="E19" t="n">
        <x:v>30</x:v>
      </x:c>
      <x:c r="F19" t="str">
        <x:v>initialization</x:v>
      </x:c>
      <x:c r="G19" t="str">
        <x:v>{"normal":{"pairs":[{"branch_1":{"input_state":1,"op":"dil_sep_conv_3x3"},"branch_2":{"input_state":0,"op":"identity"}},{"branch_1":{"input_state":2,"op":"sep_conv_5x5"},"branch_2":{"input_state":0,"op":"conv_1x7_7x1"}},{"branch_1":{"input_state":2,"op":"identity"},"branch_2":{"input_state":1,"op":"avg_pool_3x3"}},{"branch_1":{"input_state":4,"op":"conv_1x7_7x1"},"branch_2":{"input_state":0,"op":"sep_conv_5x5"}},{"branch_1":{"input_state":0,"op":"max_pool_3x3"},"branch_2":{"input_state":2,"op":"sep_conv_5x5"}}]},"reduction":{"pairs":[{"branch_1":{"input_state":1,"op":"sep_conv_5x5"},"branch_2":{"input_state":1,"op":"identity"}},{"branch_1":{"input_state":2,"op":"avg_pool_3x3"},"branch_2":{"input_state":0,"op":"avg_pool_3x3"}},{"branch_1":{"input_state":1,"op":"dil_sep_conv_3x3"},"branch_2":{"input_state":0,"op":"conv_1x7_7x1"}},{"branch_1":{"input_state":3,"op":"conv_1x7_7x1"},"branch_2":{"input_state":3,"op":"sep_conv_3x3"}},{"branch_1":{"input_state":4,"op":"identity"},"branch_2":{"input_state":2,"op":"sep_conv_5x5"}}]}}</x:v>
      </x:c>
      <x:c r="H19" t="str"/>
      <x:c r="I19" t="str">
        <x:v>random_initialization</x:v>
      </x:c>
      <x:c r="J19" s="15" t="n">
        <x:v>0.764</x:v>
      </x:c>
      <x:c r="K19" s="15" t="n">
        <x:v>0.764</x:v>
      </x:c>
      <x:c r="L19" s="15"/>
      <x:c r="M19" s="15" t="n">
        <x:v>0.764</x:v>
      </x:c>
      <x:c r="N19" s="16" t="n">
        <x:v>864442</x:v>
      </x:c>
      <x:c r="O19" s="17" t="n">
        <x:v>139.84570229999372</x:v>
      </x:c>
      <x:c r="P19" t="str">
        <x:v>{"ages_in_evaluations":[17,16,15,14,13,12,11,10,9,8,7,6,5,4,3,2,1,0],"oldest_to_youngest_evaluation_indices":[1,2,3,4,5,6,7,8,9,10,11,12,13,14,15,16,17,18]}</x:v>
      </x:c>
      <x:c r="Q19" s="18"/>
      <x:c r="R19"/>
      <x:c r="S19"/>
      <x:c r="T19" s="19"/>
    </x:row>
    <x:row r="20">
      <x:c r="A20" t="str">
        <x:v>RE</x:v>
      </x:c>
      <x:c r="B20" t="n">
        <x:v>2701</x:v>
      </x:c>
      <x:c r="C20" t="n">
        <x:v>20260845</x:v>
      </x:c>
      <x:c r="D20" t="n">
        <x:v>19</x:v>
      </x:c>
      <x:c r="E20" t="n">
        <x:v>30</x:v>
      </x:c>
      <x:c r="F20" t="str">
        <x:v>initialization</x:v>
      </x:c>
      <x:c r="G20" t="str">
        <x:v>{"normal":{"pairs":[{"branch_1":{"input_state":1,"op":"sep_conv_5x5"},"branch_2":{"input_state":0,"op":"dil_sep_conv_3x3"}},{"branch_1":{"input_state":2,"op":"dil_sep_conv_3x3"},"branch_2":{"input_state":1,"op":"sep_conv_3x3"}},{"branch_1":{"input_state":0,"op":"dil_sep_conv_3x3"},"branch_2":{"input_state":3,"op":"max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5x5"},"branch_2":{"input_state":1,"op":"max_pool_3x3"}}]}}</x:v>
      </x:c>
      <x:c r="H20" t="str"/>
      <x:c r="I20" t="str">
        <x:v>random_initialization</x:v>
      </x:c>
      <x:c r="J20" s="15" t="n">
        <x:v>0.7586</x:v>
      </x:c>
      <x:c r="K20" s="15" t="n">
        <x:v>0.7586</x:v>
      </x:c>
      <x:c r="L20" s="15"/>
      <x:c r="M20" s="15" t="n">
        <x:v>0.7586</x:v>
      </x:c>
      <x:c r="N20" s="16" t="n">
        <x:v>781714</x:v>
      </x:c>
      <x:c r="O20" s="17" t="n">
        <x:v>107.1867889999994</x:v>
      </x:c>
      <x:c r="P20" t="str">
        <x:v>{"ages_in_evaluations":[18,17,16,15,14,13,12,11,10,9,8,7,6,5,4,3,2,1,0],"oldest_to_youngest_evaluation_indices":[1,2,3,4,5,6,7,8,9,10,11,12,13,14,15,16,17,18,19]}</x:v>
      </x:c>
      <x:c r="Q20" s="18"/>
      <x:c r="R20"/>
      <x:c r="S20"/>
      <x:c r="T20" s="19"/>
    </x:row>
    <x:row r="21">
      <x:c r="A21" t="str">
        <x:v>RE</x:v>
      </x:c>
      <x:c r="B21" t="n">
        <x:v>2701</x:v>
      </x:c>
      <x:c r="C21" t="n">
        <x:v>20260846</x:v>
      </x:c>
      <x:c r="D21" t="n">
        <x:v>20</x:v>
      </x:c>
      <x:c r="E21" t="n">
        <x:v>30</x:v>
      </x:c>
      <x:c r="F21" t="str">
        <x:v>initialization</x:v>
      </x:c>
      <x:c r="G21" t="str">
        <x:v>{"normal":{"pairs":[{"branch_1":{"input_state":0,"op":"sep_conv_5x5"},"branch_2":{"input_state":0,"op":"sep_conv_3x3"}},{"branch_1":{"input_state":2,"op":"avg_pool_3x3"},"branch_2":{"input_state":0,"op":"max_pool_3x3"}},{"branch_1":{"input_state":3,"op":"max_pool_3x3"},"branch_2":{"input_state":3,"op":"avg_pool_3x3"}},{"branch_1":{"input_state":3,"op":"max_pool_3x3"},"branch_2":{"input_state":1,"op":"sep_conv_3x3"}},{"branch_1":{"input_state":0,"op":"conv_1x7_7x1"},"branch_2":{"input_state":4,"op":"identity"}}]},"reduction":{"pairs":[{"branch_1":{"input_state":1,"op":"sep_conv_7x7"},"branch_2":{"input_state":0,"op":"max_pool_3x3"}},{"branch_1":{"input_state":0,"op":"avg_pool_3x3"},"branch_2":{"input_state":1,"op":"dil_sep_conv_3x3"}},{"branch_1":{"input_state":0,"op":"sep_conv_7x7"},"branch_2":{"input_state":0,"op":"identity"}},{"branch_1":{"input_state":2,"op":"sep_conv_3x3"},"branch_2":{"input_state":2,"op":"sep_conv_7x7"}},{"branch_1":{"input_state":4,"op":"conv_1x7_7x1"},"branch_2":{"input_state":3,"op":"max_pool_3x3"}}]}}</x:v>
      </x:c>
      <x:c r="H21" t="str"/>
      <x:c r="I21" t="str">
        <x:v>random_initialization</x:v>
      </x:c>
      <x:c r="J21" s="15" t="n">
        <x:v>0.812</x:v>
      </x:c>
      <x:c r="K21" s="15" t="n">
        <x:v>0.812</x:v>
      </x:c>
      <x:c r="L21" s="15"/>
      <x:c r="M21" s="15" t="n">
        <x:v>0.812</x:v>
      </x:c>
      <x:c r="N21" s="16" t="n">
        <x:v>665734</x:v>
      </x:c>
      <x:c r="O21" s="17" t="n">
        <x:v>111.08371050001006</x:v>
      </x:c>
      <x:c r="P21" t="str">
        <x:v>{"ages_in_evaluations":[19,18,17,16,15,14,13,12,11,10,9,8,7,6,5,4,3,2,1,0],"oldest_to_youngest_evaluation_indices":[1,2,3,4,5,6,7,8,9,10,11,12,13,14,15,16,17,18,19,20]}</x:v>
      </x:c>
      <x:c r="Q21" s="18"/>
      <x:c r="R21"/>
      <x:c r="S21"/>
      <x:c r="T21" s="19"/>
    </x:row>
    <x:row r="22">
      <x:c r="A22" t="str">
        <x:v>RE</x:v>
      </x:c>
      <x:c r="B22" t="n">
        <x:v>2701</x:v>
      </x:c>
      <x:c r="C22" t="n">
        <x:v>20260847</x:v>
      </x:c>
      <x:c r="D22" t="n">
        <x:v>21</x:v>
      </x:c>
      <x:c r="E22" t="n">
        <x:v>30</x:v>
      </x:c>
      <x:c r="F22" t="str">
        <x:v>evolution</x:v>
      </x:c>
      <x:c r="G22" t="str">
        <x:v>{"normal":{"pairs":[{"branch_1":{"input_state":1,"op":"sep_conv_5x5"},"branch_2":{"input_state":0,"op":"dil_sep_conv_3x3"}},{"branch_1":{"input_state":2,"op":"dil_sep_conv_3x3"},"branch_2":{"input_state":1,"op":"sep_conv_3x3"}},{"branch_1":{"input_state":0,"op":"dil_sep_conv_3x3"},"branch_2":{"input_state":3,"op":"avg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5x5"},"branch_2":{"input_state":1,"op":"max_pool_3x3"}}]}}</x:v>
      </x:c>
      <x:c r="H22" t="str">
        <x:v>{"normal":{"pairs":[{"branch_1":{"input_state":1,"op":"sep_conv_5x5"},"branch_2":{"input_state":0,"op":"dil_sep_conv_3x3"}},{"branch_1":{"input_state":2,"op":"dil_sep_conv_3x3"},"branch_2":{"input_state":1,"op":"sep_conv_3x3"}},{"branch_1":{"input_state":0,"op":"dil_sep_conv_3x3"},"branch_2":{"input_state":3,"op":"max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5x5"},"branch_2":{"input_state":1,"op":"max_pool_3x3"}}]}}</x:v>
      </x:c>
      <x:c r="I22" t="str">
        <x:v>operation</x:v>
      </x:c>
      <x:c r="J22" s="15" t="n">
        <x:v>0.769</x:v>
      </x:c>
      <x:c r="K22" s="15" t="n">
        <x:v>0.769</x:v>
      </x:c>
      <x:c r="L22" s="15"/>
      <x:c r="M22" s="15" t="n">
        <x:v>0.769</x:v>
      </x:c>
      <x:c r="N22" s="16" t="n">
        <x:v>781714</x:v>
      </x:c>
      <x:c r="O22" s="17" t="n">
        <x:v>107.98796079997555</x:v>
      </x:c>
      <x:c r="P22" t="str">
        <x:v>{"ages_in_evaluations":[19,18,17,16,15,14,13,12,11,10,9,8,7,6,5,4,3,2,1,0],"oldest_to_youngest_evaluation_indices":[2,3,4,5,6,7,8,9,10,11,12,13,14,15,16,17,18,19,20,21]}</x:v>
      </x:c>
      <x:c r="Q22" s="18"/>
      <x:c r="R22"/>
      <x:c r="S22"/>
      <x:c r="T22" s="19"/>
    </x:row>
    <x:row r="23">
      <x:c r="A23" t="str">
        <x:v>RE</x:v>
      </x:c>
      <x:c r="B23" t="n">
        <x:v>2701</x:v>
      </x:c>
      <x:c r="C23" t="n">
        <x:v>20260848</x:v>
      </x:c>
      <x:c r="D23" t="n">
        <x:v>22</x:v>
      </x:c>
      <x:c r="E23" t="n">
        <x:v>30</x:v>
      </x:c>
      <x:c r="F23" t="str">
        <x:v>evolution</x:v>
      </x:c>
      <x:c r="G23" t="str">
        <x:v>{"normal":{"pairs":[{"branch_1":{"input_state":0,"op":"identity"},"branch_2":{"input_state":0,"op":"identity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  <x:c r="H23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  <x:c r="I23" t="str">
        <x:v>operation</x:v>
      </x:c>
      <x:c r="J23" s="15" t="n">
        <x:v>0.83</x:v>
      </x:c>
      <x:c r="K23" s="15" t="n">
        <x:v>0.83</x:v>
      </x:c>
      <x:c r="L23" s="15"/>
      <x:c r="M23" s="15" t="n">
        <x:v>0.83</x:v>
      </x:c>
      <x:c r="N23" s="16" t="n">
        <x:v>606610</x:v>
      </x:c>
      <x:c r="O23" s="17" t="n">
        <x:v>85.0494835000136</x:v>
      </x:c>
      <x:c r="P23" t="str">
        <x:v>{"ages_in_evaluations":[19,18,17,16,15,14,13,12,11,10,9,8,7,6,5,4,3,2,1,0],"oldest_to_youngest_evaluation_indices":[3,4,5,6,7,8,9,10,11,12,13,14,15,16,17,18,19,20,21,22]}</x:v>
      </x:c>
      <x:c r="Q23" s="18"/>
      <x:c r="R23"/>
      <x:c r="S23"/>
      <x:c r="T23" s="19"/>
    </x:row>
    <x:row r="24">
      <x:c r="A24" t="str">
        <x:v>RE</x:v>
      </x:c>
      <x:c r="B24" t="n">
        <x:v>2701</x:v>
      </x:c>
      <x:c r="C24" t="n">
        <x:v>20260849</x:v>
      </x:c>
      <x:c r="D24" t="n">
        <x:v>23</x:v>
      </x:c>
      <x:c r="E24" t="n">
        <x:v>30</x:v>
      </x:c>
      <x:c r="F24" t="str">
        <x:v>evolution</x:v>
      </x:c>
      <x:c r="G24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max_pool_3x3"}},{"branch_1":{"input_state":1,"op":"identity"},"branch_2":{"input_state":1,"op":"conv_1x7_7x1"}},{"branch_1":{"input_state":1,"op":"sep_conv_3x3"},"branch_2":{"input_state":0,"op":"max_pool_3x3"}}]}}</x:v>
      </x:c>
      <x:c r="H24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  <x:c r="I24" t="str">
        <x:v>operation</x:v>
      </x:c>
      <x:c r="J24" s="15" t="n">
        <x:v>0.8198</x:v>
      </x:c>
      <x:c r="K24" s="15" t="n">
        <x:v>0.8198</x:v>
      </x:c>
      <x:c r="L24" s="15"/>
      <x:c r="M24" s="15" t="n">
        <x:v>0.8198</x:v>
      </x:c>
      <x:c r="N24" s="16" t="n">
        <x:v>690274</x:v>
      </x:c>
      <x:c r="O24" s="17" t="n">
        <x:v>97.85009349999018</x:v>
      </x:c>
      <x:c r="P24" t="str">
        <x:v>{"ages_in_evaluations":[19,18,17,16,15,14,13,12,11,10,9,8,7,6,5,4,3,2,1,0],"oldest_to_youngest_evaluation_indices":[4,5,6,7,8,9,10,11,12,13,14,15,16,17,18,19,20,21,22,23]}</x:v>
      </x:c>
      <x:c r="Q24" s="18"/>
      <x:c r="R24"/>
      <x:c r="S24"/>
      <x:c r="T24" s="19"/>
    </x:row>
    <x:row r="25">
      <x:c r="A25" t="str">
        <x:v>RE</x:v>
      </x:c>
      <x:c r="B25" t="n">
        <x:v>2701</x:v>
      </x:c>
      <x:c r="C25" t="n">
        <x:v>20260850</x:v>
      </x:c>
      <x:c r="D25" t="n">
        <x:v>24</x:v>
      </x:c>
      <x:c r="E25" t="n">
        <x:v>30</x:v>
      </x:c>
      <x:c r="F25" t="str">
        <x:v>evolution</x:v>
      </x:c>
      <x:c r="G25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sep_conv_3x3"},"branch_2":{"input_state":1,"op":"conv_1x7_7x1"}},{"branch_1":{"input_state":1,"op":"sep_conv_3x3"},"branch_2":{"input_state":0,"op":"max_pool_3x3"}}]}}</x:v>
      </x:c>
      <x:c r="H25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  <x:c r="I25" t="str">
        <x:v>operation</x:v>
      </x:c>
      <x:c r="J25" s="15" t="n">
        <x:v>0.83</x:v>
      </x:c>
      <x:c r="K25" s="15" t="n">
        <x:v>0.83</x:v>
      </x:c>
      <x:c r="L25" s="15"/>
      <x:c r="M25" s="15" t="n">
        <x:v>0.83</x:v>
      </x:c>
      <x:c r="N25" s="16" t="n">
        <x:v>704674</x:v>
      </x:c>
      <x:c r="O25" s="17" t="n">
        <x:v>96.89855379998336</x:v>
      </x:c>
      <x:c r="P25" t="str">
        <x:v>{"ages_in_evaluations":[19,18,17,16,15,14,13,12,11,10,9,8,7,6,5,4,3,2,1,0],"oldest_to_youngest_evaluation_indices":[5,6,7,8,9,10,11,12,13,14,15,16,17,18,19,20,21,22,23,24]}</x:v>
      </x:c>
      <x:c r="Q25" s="18"/>
      <x:c r="R25"/>
      <x:c r="S25"/>
      <x:c r="T25" s="19"/>
    </x:row>
    <x:row r="26">
      <x:c r="A26" t="str">
        <x:v>RE</x:v>
      </x:c>
      <x:c r="B26" t="n">
        <x:v>2701</x:v>
      </x:c>
      <x:c r="C26" t="n">
        <x:v>20260851</x:v>
      </x:c>
      <x:c r="D26" t="n">
        <x:v>25</x:v>
      </x:c>
      <x:c r="E26" t="n">
        <x:v>30</x:v>
      </x:c>
      <x:c r="F26" t="str">
        <x:v>evolution</x:v>
      </x:c>
      <x:c r="G26" t="str">
        <x:v>{"normal":{"pairs":[{"branch_1":{"input_state":1,"op":"sep_conv_5x5"},"branch_2":{"input_state":0,"op":"dil_sep_conv_3x3"}},{"branch_1":{"input_state":2,"op":"dil_sep_conv_3x3"},"branch_2":{"input_state":1,"op":"sep_conv_3x3"}},{"branch_1":{"input_state":0,"op":"dil_sep_conv_3x3"},"branch_2":{"input_state":3,"op":"avg_pool_3x3"}},{"branch_1":{"input_state":0,"op":"identity"},"branch_2":{"input_state":2,"op":"max_pool_3x3"}},{"branch_1":{"input_state":3,"op":"identity"},"branch_2":{"input_state":2,"op":"avg_pool_3x3"}}]},"reduction":{"pairs":[{"branch_1":{"input_state":0,"op":"identity"},"branch_2":{"input_state":0,"op":"max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5x5"},"branch_2":{"input_state":1,"op":"max_pool_3x3"}}]}}</x:v>
      </x:c>
      <x:c r="H26" t="str">
        <x:v>{"normal":{"pairs":[{"branch_1":{"input_state":1,"op":"sep_conv_5x5"},"branch_2":{"input_state":0,"op":"dil_sep_conv_3x3"}},{"branch_1":{"input_state":2,"op":"dil_sep_conv_3x3"},"branch_2":{"input_state":1,"op":"sep_conv_3x3"}},{"branch_1":{"input_state":0,"op":"dil_sep_conv_3x3"},"branch_2":{"input_state":3,"op":"avg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5x5"},"branch_2":{"input_state":1,"op":"max_pool_3x3"}}]}}</x:v>
      </x:c>
      <x:c r="I26" t="str">
        <x:v>hidden_state</x:v>
      </x:c>
      <x:c r="J26" s="15" t="n">
        <x:v>0.787</x:v>
      </x:c>
      <x:c r="K26" s="15" t="n">
        <x:v>0.787</x:v>
      </x:c>
      <x:c r="L26" s="15"/>
      <x:c r="M26" s="15" t="n">
        <x:v>0.787</x:v>
      </x:c>
      <x:c r="N26" s="16" t="n">
        <x:v>781714</x:v>
      </x:c>
      <x:c r="O26" s="17" t="n">
        <x:v>107.07069649998448</x:v>
      </x:c>
      <x:c r="P26" t="str">
        <x:v>{"ages_in_evaluations":[19,18,17,16,15,14,13,12,11,10,9,8,7,6,5,4,3,2,1,0],"oldest_to_youngest_evaluation_indices":[6,7,8,9,10,11,12,13,14,15,16,17,18,19,20,21,22,23,24,25]}</x:v>
      </x:c>
      <x:c r="Q26" s="18"/>
      <x:c r="R26"/>
      <x:c r="S26"/>
      <x:c r="T26" s="19"/>
    </x:row>
    <x:row r="27">
      <x:c r="A27" t="str">
        <x:v>RE</x:v>
      </x:c>
      <x:c r="B27" t="n">
        <x:v>2701</x:v>
      </x:c>
      <x:c r="C27" t="n">
        <x:v>20260852</x:v>
      </x:c>
      <x:c r="D27" t="n">
        <x:v>26</x:v>
      </x:c>
      <x:c r="E27" t="n">
        <x:v>30</x:v>
      </x:c>
      <x:c r="F27" t="str">
        <x:v>evolution</x:v>
      </x:c>
      <x:c r="G27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0,"op":"avg_pool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H27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I27" t="str">
        <x:v>operation</x:v>
      </x:c>
      <x:c r="J27" s="15" t="n">
        <x:v>0.8174</x:v>
      </x:c>
      <x:c r="K27" s="15" t="n">
        <x:v>0.8174</x:v>
      </x:c>
      <x:c r="L27" s="15"/>
      <x:c r="M27" s="15" t="n">
        <x:v>0.8174</x:v>
      </x:c>
      <x:c r="N27" s="16" t="n">
        <x:v>919006</x:v>
      </x:c>
      <x:c r="O27" s="17" t="n">
        <x:v>132.77664369999547</x:v>
      </x:c>
      <x:c r="P27" t="str">
        <x:v>{"ages_in_evaluations":[19,18,17,16,15,14,13,12,11,10,9,8,7,6,5,4,3,2,1,0],"oldest_to_youngest_evaluation_indices":[7,8,9,10,11,12,13,14,15,16,17,18,19,20,21,22,23,24,25,26]}</x:v>
      </x:c>
      <x:c r="Q27" s="18"/>
      <x:c r="R27"/>
      <x:c r="S27"/>
      <x:c r="T27" s="19"/>
    </x:row>
    <x:row r="28">
      <x:c r="A28" t="str">
        <x:v>RE</x:v>
      </x:c>
      <x:c r="B28" t="n">
        <x:v>2701</x:v>
      </x:c>
      <x:c r="C28" t="n">
        <x:v>20260853</x:v>
      </x:c>
      <x:c r="D28" t="n">
        <x:v>27</x:v>
      </x:c>
      <x:c r="E28" t="n">
        <x:v>30</x:v>
      </x:c>
      <x:c r="F28" t="str">
        <x:v>evolution</x:v>
      </x:c>
      <x:c r="G28" t="str">
        <x:v>{"normal":{"pairs":[{"branch_1":{"input_state":1,"op":"dil_sep_conv_3x3"},"branch_2":{"input_state":0,"op":"identity"}},{"branch_1":{"input_state":2,"op":"sep_conv_5x5"},"branch_2":{"input_state":0,"op":"conv_1x7_7x1"}},{"branch_1":{"input_state":2,"op":"identity"},"branch_2":{"input_state":1,"op":"avg_pool_3x3"}},{"branch_1":{"input_state":4,"op":"conv_1x7_7x1"},"branch_2":{"input_state":0,"op":"sep_conv_5x5"}},{"branch_1":{"input_state":0,"op":"max_pool_3x3"},"branch_2":{"input_state":2,"op":"sep_conv_5x5"}}]},"reduction":{"pairs":[{"branch_1":{"input_state":1,"op":"sep_conv_5x5"},"branch_2":{"input_state":1,"op":"identity"}},{"branch_1":{"input_state":2,"op":"avg_pool_3x3"},"branch_2":{"input_state":0,"op":"avg_pool_3x3"}},{"branch_1":{"input_state":1,"op":"dil_sep_conv_3x3"},"branch_2":{"input_state":0,"op":"conv_1x7_7x1"}},{"branch_1":{"input_state":3,"op":"avg_pool_3x3"},"branch_2":{"input_state":3,"op":"sep_conv_3x3"}},{"branch_1":{"input_state":4,"op":"identity"},"branch_2":{"input_state":2,"op":"sep_conv_5x5"}}]}}</x:v>
      </x:c>
      <x:c r="H28" t="str">
        <x:v>{"normal":{"pairs":[{"branch_1":{"input_state":1,"op":"dil_sep_conv_3x3"},"branch_2":{"input_state":0,"op":"identity"}},{"branch_1":{"input_state":2,"op":"sep_conv_5x5"},"branch_2":{"input_state":0,"op":"conv_1x7_7x1"}},{"branch_1":{"input_state":2,"op":"identity"},"branch_2":{"input_state":1,"op":"avg_pool_3x3"}},{"branch_1":{"input_state":4,"op":"conv_1x7_7x1"},"branch_2":{"input_state":0,"op":"sep_conv_5x5"}},{"branch_1":{"input_state":0,"op":"max_pool_3x3"},"branch_2":{"input_state":2,"op":"sep_conv_5x5"}}]},"reduction":{"pairs":[{"branch_1":{"input_state":1,"op":"sep_conv_5x5"},"branch_2":{"input_state":1,"op":"identity"}},{"branch_1":{"input_state":2,"op":"avg_pool_3x3"},"branch_2":{"input_state":0,"op":"avg_pool_3x3"}},{"branch_1":{"input_state":1,"op":"dil_sep_conv_3x3"},"branch_2":{"input_state":0,"op":"conv_1x7_7x1"}},{"branch_1":{"input_state":3,"op":"conv_1x7_7x1"},"branch_2":{"input_state":3,"op":"sep_conv_3x3"}},{"branch_1":{"input_state":4,"op":"identity"},"branch_2":{"input_state":2,"op":"sep_conv_5x5"}}]}}</x:v>
      </x:c>
      <x:c r="I28" t="str">
        <x:v>operation</x:v>
      </x:c>
      <x:c r="J28" s="15" t="n">
        <x:v>0.759</x:v>
      </x:c>
      <x:c r="K28" s="15" t="n">
        <x:v>0.759</x:v>
      </x:c>
      <x:c r="L28" s="15"/>
      <x:c r="M28" s="15" t="n">
        <x:v>0.759</x:v>
      </x:c>
      <x:c r="N28" s="16" t="n">
        <x:v>848098</x:v>
      </x:c>
      <x:c r="O28" s="17" t="n">
        <x:v>136.05373029998736</x:v>
      </x:c>
      <x:c r="P28" t="str">
        <x:v>{"ages_in_evaluations":[19,18,17,16,15,14,13,12,11,10,9,8,7,6,5,4,3,2,1,0],"oldest_to_youngest_evaluation_indices":[8,9,10,11,12,13,14,15,16,17,18,19,20,21,22,23,24,25,26,27]}</x:v>
      </x:c>
      <x:c r="Q28" s="18"/>
      <x:c r="R28"/>
      <x:c r="S28"/>
      <x:c r="T28" s="19"/>
    </x:row>
    <x:row r="29">
      <x:c r="A29" t="str">
        <x:v>RE</x:v>
      </x:c>
      <x:c r="B29" t="n">
        <x:v>2701</x:v>
      </x:c>
      <x:c r="C29" t="n">
        <x:v>20260854</x:v>
      </x:c>
      <x:c r="D29" t="n">
        <x:v>28</x:v>
      </x:c>
      <x:c r="E29" t="n">
        <x:v>30</x:v>
      </x:c>
      <x:c r="F29" t="str">
        <x:v>evolution</x:v>
      </x:c>
      <x:c r="G29" t="str">
        <x:v>{"normal":{"pairs":[{"branch_1":{"input_state":0,"op":"sep_conv_3x3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max_pool_3x3"}},{"branch_1":{"input_state":1,"op":"identity"},"branch_2":{"input_state":1,"op":"conv_1x7_7x1"}},{"branch_1":{"input_state":1,"op":"sep_conv_3x3"},"branch_2":{"input_state":0,"op":"max_pool_3x3"}}]}}</x:v>
      </x:c>
      <x:c r="H29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max_pool_3x3"}},{"branch_1":{"input_state":1,"op":"identity"},"branch_2":{"input_state":1,"op":"conv_1x7_7x1"}},{"branch_1":{"input_state":1,"op":"sep_conv_3x3"},"branch_2":{"input_state":0,"op":"max_pool_3x3"}}]}}</x:v>
      </x:c>
      <x:c r="I29" t="str">
        <x:v>operation</x:v>
      </x:c>
      <x:c r="J29" s="15" t="n">
        <x:v>0.8114</x:v>
      </x:c>
      <x:c r="K29" s="15" t="n">
        <x:v>0.8114</x:v>
      </x:c>
      <x:c r="L29" s="15"/>
      <x:c r="M29" s="15" t="n">
        <x:v>0.8114</x:v>
      </x:c>
      <x:c r="N29" s="16" t="n">
        <x:v>773938</x:v>
      </x:c>
      <x:c r="O29" s="17" t="n">
        <x:v>106.63823810001486</x:v>
      </x:c>
      <x:c r="P29" t="str">
        <x:v>{"ages_in_evaluations":[19,18,17,16,15,14,13,12,11,10,9,8,7,6,5,4,3,2,1,0],"oldest_to_youngest_evaluation_indices":[9,10,11,12,13,14,15,16,17,18,19,20,21,22,23,24,25,26,27,28]}</x:v>
      </x:c>
      <x:c r="Q29" s="18"/>
      <x:c r="R29"/>
      <x:c r="S29"/>
      <x:c r="T29" s="19"/>
    </x:row>
    <x:row r="30">
      <x:c r="A30" t="str">
        <x:v>RE</x:v>
      </x:c>
      <x:c r="B30" t="n">
        <x:v>2701</x:v>
      </x:c>
      <x:c r="C30" t="n">
        <x:v>20260855</x:v>
      </x:c>
      <x:c r="D30" t="n">
        <x:v>29</x:v>
      </x:c>
      <x:c r="E30" t="n">
        <x:v>30</x:v>
      </x:c>
      <x:c r="F30" t="str">
        <x:v>evolution</x:v>
      </x:c>
      <x:c r="G30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avg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max_pool_3x3"}},{"branch_1":{"input_state":1,"op":"identity"},"branch_2":{"input_state":1,"op":"conv_1x7_7x1"}},{"branch_1":{"input_state":1,"op":"sep_conv_3x3"},"branch_2":{"input_state":0,"op":"max_pool_3x3"}}]}}</x:v>
      </x:c>
      <x:c r="H30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max_pool_3x3"}},{"branch_1":{"input_state":1,"op":"identity"},"branch_2":{"input_state":1,"op":"conv_1x7_7x1"}},{"branch_1":{"input_state":1,"op":"sep_conv_3x3"},"branch_2":{"input_state":0,"op":"max_pool_3x3"}}]}}</x:v>
      </x:c>
      <x:c r="I30" t="str">
        <x:v>operation</x:v>
      </x:c>
      <x:c r="J30" s="15" t="n">
        <x:v>0.8036</x:v>
      </x:c>
      <x:c r="K30" s="15" t="n">
        <x:v>0.8036</x:v>
      </x:c>
      <x:c r="L30" s="15"/>
      <x:c r="M30" s="15" t="n">
        <x:v>0.8036</x:v>
      </x:c>
      <x:c r="N30" s="16" t="n">
        <x:v>690274</x:v>
      </x:c>
      <x:c r="O30" s="17" t="n">
        <x:v>95.69964690000052</x:v>
      </x:c>
      <x:c r="P30" t="str">
        <x:v>{"ages_in_evaluations":[19,18,17,16,15,14,13,12,11,10,9,8,7,6,5,4,3,2,1,0],"oldest_to_youngest_evaluation_indices":[10,11,12,13,14,15,16,17,18,19,20,21,22,23,24,25,26,27,28,29]}</x:v>
      </x:c>
      <x:c r="Q30" s="18"/>
      <x:c r="R30"/>
      <x:c r="S30"/>
      <x:c r="T30" s="19"/>
    </x:row>
    <x:row r="31">
      <x:c r="A31" t="str">
        <x:v>RE</x:v>
      </x:c>
      <x:c r="B31" t="n">
        <x:v>2701</x:v>
      </x:c>
      <x:c r="C31" t="n">
        <x:v>20260856</x:v>
      </x:c>
      <x:c r="D31" t="n">
        <x:v>30</x:v>
      </x:c>
      <x:c r="E31" t="n">
        <x:v>30</x:v>
      </x:c>
      <x:c r="F31" t="str">
        <x:v>evolution</x:v>
      </x:c>
      <x:c r="G31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1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H31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I31" t="str">
        <x:v>hidden_state</x:v>
      </x:c>
      <x:c r="J31" s="15" t="n">
        <x:v>0.8102</x:v>
      </x:c>
      <x:c r="K31" s="15" t="n">
        <x:v>0.8102</x:v>
      </x:c>
      <x:c r="L31" s="15"/>
      <x:c r="M31" s="15" t="n">
        <x:v>0.8102</x:v>
      </x:c>
      <x:c r="N31" s="16" t="n">
        <x:v>945214</x:v>
      </x:c>
      <x:c r="O31" s="17" t="n">
        <x:v>131.47720369999297</x:v>
      </x:c>
      <x:c r="P31" t="str">
        <x:v>{"ages_in_evaluations":[19,18,17,16,15,14,13,12,11,10,9,8,7,6,5,4,3,2,1,0],"oldest_to_youngest_evaluation_indices":[11,12,13,14,15,16,17,18,19,20,21,22,23,24,25,26,27,28,29,30]}</x:v>
      </x:c>
      <x:c r="Q31" s="18"/>
      <x:c r="R31"/>
      <x:c r="S31"/>
      <x:c r="T31" s="19"/>
    </x:row>
    <x:row r="32">
      <x:c r="A32" t="str">
        <x:v>SA-RE</x:v>
      </x:c>
      <x:c r="B32" t="n">
        <x:v>2701</x:v>
      </x:c>
      <x:c r="C32" t="n">
        <x:v>20260827</x:v>
      </x:c>
      <x:c r="D32" t="n">
        <x:v>1</x:v>
      </x:c>
      <x:c r="E32" t="n">
        <x:v>30</x:v>
      </x:c>
      <x:c r="F32" t="str">
        <x:v>initialization</x:v>
      </x:c>
      <x:c r="G32" t="str">
        <x:v>{"normal":{"pairs":[{"branch_1":{"input_state":1,"op":"sep_conv_7x7"},"branch_2":{"input_state":1,"op":"dil_sep_conv_3x3"}},{"branch_1":{"input_state":2,"op":"avg_pool_3x3"},"branch_2":{"input_state":0,"op":"avg_pool_3x3"}},{"branch_1":{"input_state":0,"op":"sep_conv_7x7"},"branch_2":{"input_state":2,"op":"sep_conv_7x7"}},{"branch_1":{"input_state":0,"op":"conv_1x7_7x1"},"branch_2":{"input_state":0,"op":"conv_1x7_7x1"}},{"branch_1":{"input_state":2,"op":"sep_conv_5x5"},"branch_2":{"input_state":4,"op":"sep_conv_3x3"}}]},"reduction":{"pairs":[{"branch_1":{"input_state":1,"op":"sep_conv_3x3"},"branch_2":{"input_state":1,"op":"conv_1x7_7x1"}},{"branch_1":{"input_state":1,"op":"dil_sep_conv_3x3"},"branch_2":{"input_state":2,"op":"avg_pool_3x3"}},{"branch_1":{"input_state":2,"op":"sep_conv_5x5"},"branch_2":{"input_state":3,"op":"dil_sep_conv_3x3"}},{"branch_1":{"input_state":1,"op":"max_pool_3x3"},"branch_2":{"input_state":1,"op":"sep_conv_3x3"}},{"branch_1":{"input_state":2,"op":"conv_1x7_7x1"},"branch_2":{"input_state":5,"op":"max_pool_3x3"}}]}}</x:v>
      </x:c>
      <x:c r="H32" t="str"/>
      <x:c r="I32" t="str">
        <x:v>random_initialization</x:v>
      </x:c>
      <x:c r="J32" s="15" t="n">
        <x:v>0.7114</x:v>
      </x:c>
      <x:c r="K32" s="15" t="n">
        <x:v>0.7114</x:v>
      </x:c>
      <x:c r="L32" s="15" t="n">
        <x:v>0.7114</x:v>
      </x:c>
      <x:c r="M32" s="15" t="n">
        <x:v>0.7114</x:v>
      </x:c>
      <x:c r="N32" s="16" t="n">
        <x:v>1165114</x:v>
      </x:c>
      <x:c r="O32" s="17" t="n">
        <x:v>187.78332329998372</x:v>
      </x:c>
      <x:c r="P32" t="str">
        <x:v>{"ages_in_evaluations":[0],"oldest_to_youngest_evaluation_indices":[1]}</x:v>
      </x:c>
      <x:c r="Q32" s="18"/>
      <x:c r="R32"/>
      <x:c r="S32"/>
      <x:c r="T32" s="19"/>
    </x:row>
    <x:row r="33">
      <x:c r="A33" t="str">
        <x:v>SA-RE</x:v>
      </x:c>
      <x:c r="B33" t="n">
        <x:v>2701</x:v>
      </x:c>
      <x:c r="C33" t="n">
        <x:v>20260828</x:v>
      </x:c>
      <x:c r="D33" t="n">
        <x:v>2</x:v>
      </x:c>
      <x:c r="E33" t="n">
        <x:v>30</x:v>
      </x:c>
      <x:c r="F33" t="str">
        <x:v>initialization</x:v>
      </x:c>
      <x:c r="G33" t="str">
        <x:v>{"normal":{"pairs":[{"branch_1":{"input_state":1,"op":"sep_conv_3x3"},"branch_2":{"input_state":1,"op":"sep_conv_3x3"}},{"branch_1":{"input_state":2,"op":"max_pool_3x3"},"branch_2":{"input_state":2,"op":"sep_conv_5x5"}},{"branch_1":{"input_state":3,"op":"sep_conv_5x5"},"branch_2":{"input_state":1,"op":"sep_conv_3x3"}},{"branch_1":{"input_state":3,"op":"sep_conv_3x3"},"branch_2":{"input_state":2,"op":"sep_conv_7x7"}},{"branch_1":{"input_state":2,"op":"sep_conv_7x7"},"branch_2":{"input_state":5,"op":"dil_sep_conv_3x3"}}]},"reduction":{"pairs":[{"branch_1":{"input_state":0,"op":"sep_conv_3x3"},"branch_2":{"input_state":1,"op":"avg_pool_3x3"}},{"branch_1":{"input_state":0,"op":"sep_conv_5x5"},"branch_2":{"input_state":1,"op":"sep_conv_7x7"}},{"branch_1":{"input_state":2,"op":"sep_conv_5x5"},"branch_2":{"input_state":3,"op":"sep_conv_3x3"}},{"branch_1":{"input_state":1,"op":"max_pool_3x3"},"branch_2":{"input_state":0,"op":"avg_pool_3x3"}},{"branch_1":{"input_state":2,"op":"sep_conv_7x7"},"branch_2":{"input_state":5,"op":"max_pool_3x3"}}]}}</x:v>
      </x:c>
      <x:c r="H33" t="str"/>
      <x:c r="I33" t="str">
        <x:v>random_initialization</x:v>
      </x:c>
      <x:c r="J33" s="15" t="n">
        <x:v>0.7572</x:v>
      </x:c>
      <x:c r="K33" s="15" t="n">
        <x:v>0.7572</x:v>
      </x:c>
      <x:c r="L33" s="15" t="n">
        <x:v>0.7572</x:v>
      </x:c>
      <x:c r="M33" s="15" t="n">
        <x:v>0.7572</x:v>
      </x:c>
      <x:c r="N33" s="16" t="n">
        <x:v>1274914</x:v>
      </x:c>
      <x:c r="O33" s="17" t="n">
        <x:v>170.38920830001007</x:v>
      </x:c>
      <x:c r="P33" t="str">
        <x:v>{"ages_in_evaluations":[1,0],"oldest_to_youngest_evaluation_indices":[1,2]}</x:v>
      </x:c>
      <x:c r="Q33" s="18"/>
      <x:c r="R33"/>
      <x:c r="S33"/>
      <x:c r="T33" s="19"/>
    </x:row>
    <x:row r="34">
      <x:c r="A34" t="str">
        <x:v>SA-RE</x:v>
      </x:c>
      <x:c r="B34" t="n">
        <x:v>2701</x:v>
      </x:c>
      <x:c r="C34" t="n">
        <x:v>20260829</x:v>
      </x:c>
      <x:c r="D34" t="n">
        <x:v>3</x:v>
      </x:c>
      <x:c r="E34" t="n">
        <x:v>30</x:v>
      </x:c>
      <x:c r="F34" t="str">
        <x:v>initialization</x:v>
      </x:c>
      <x:c r="G34" t="str">
        <x:v>{"normal":{"pairs":[{"branch_1":{"input_state":1,"op":"dil_sep_conv_3x3"},"branch_2":{"input_state":0,"op":"sep_conv_5x5"}},{"branch_1":{"input_state":0,"op":"avg_pool_3x3"},"branch_2":{"input_state":2,"op":"conv_1x7_7x1"}},{"branch_1":{"input_state":2,"op":"conv_1x7_7x1"},"branch_2":{"input_state":3,"op":"sep_conv_3x3"}},{"branch_1":{"input_state":1,"op":"identity"},"branch_2":{"input_state":0,"op":"max_pool_3x3"}},{"branch_1":{"input_state":5,"op":"sep_conv_3x3"},"branch_2":{"input_state":3,"op":"sep_conv_7x7"}}]},"reduction":{"pairs":[{"branch_1":{"input_state":1,"op":"sep_conv_7x7"},"branch_2":{"input_state":0,"op":"conv_1x7_7x1"}},{"branch_1":{"input_state":2,"op":"max_pool_3x3"},"branch_2":{"input_state":2,"op":"sep_conv_7x7"}},{"branch_1":{"input_state":0,"op":"sep_conv_7x7"},"branch_2":{"input_state":0,"op":"max_pool_3x3"}},{"branch_1":{"input_state":0,"op":"sep_conv_3x3"},"branch_2":{"input_state":0,"op":"avg_pool_3x3"}},{"branch_1":{"input_state":5,"op":"sep_conv_3x3"},"branch_2":{"input_state":2,"op":"sep_conv_5x5"}}]}}</x:v>
      </x:c>
      <x:c r="H34" t="str"/>
      <x:c r="I34" t="str">
        <x:v>random_initialization</x:v>
      </x:c>
      <x:c r="J34" s="15" t="n">
        <x:v>0.6998</x:v>
      </x:c>
      <x:c r="K34" s="15" t="n">
        <x:v>0.6998</x:v>
      </x:c>
      <x:c r="L34" s="15" t="n">
        <x:v>0.6998</x:v>
      </x:c>
      <x:c r="M34" s="15" t="n">
        <x:v>0.6998</x:v>
      </x:c>
      <x:c r="N34" s="16" t="n">
        <x:v>967090</x:v>
      </x:c>
      <x:c r="O34" s="17" t="n">
        <x:v>157.4636267000169</x:v>
      </x:c>
      <x:c r="P34" t="str">
        <x:v>{"ages_in_evaluations":[2,1,0],"oldest_to_youngest_evaluation_indices":[1,2,3]}</x:v>
      </x:c>
      <x:c r="Q34" s="18"/>
      <x:c r="R34"/>
      <x:c r="S34"/>
      <x:c r="T34" s="19"/>
    </x:row>
    <x:row r="35">
      <x:c r="A35" t="str">
        <x:v>SA-RE</x:v>
      </x:c>
      <x:c r="B35" t="n">
        <x:v>2701</x:v>
      </x:c>
      <x:c r="C35" t="n">
        <x:v>20260830</x:v>
      </x:c>
      <x:c r="D35" t="n">
        <x:v>4</x:v>
      </x:c>
      <x:c r="E35" t="n">
        <x:v>30</x:v>
      </x:c>
      <x:c r="F35" t="str">
        <x:v>initialization</x:v>
      </x:c>
      <x:c r="G35" t="str">
        <x:v>{"normal":{"pairs":[{"branch_1":{"input_state":1,"op":"identity"},"branch_2":{"input_state":0,"op":"avg_pool_3x3"}},{"branch_1":{"input_state":1,"op":"identity"},"branch_2":{"input_state":1,"op":"sep_conv_5x5"}},{"branch_1":{"input_state":1,"op":"dil_sep_conv_3x3"},"branch_2":{"input_state":2,"op":"sep_conv_3x3"}},{"branch_1":{"input_state":4,"op":"sep_conv_7x7"},"branch_2":{"input_state":1,"op":"sep_conv_7x7"}},{"branch_1":{"input_state":3,"op":"sep_conv_7x7"},"branch_2":{"input_state":1,"op":"identity"}}]},"reduction":{"pairs":[{"branch_1":{"input_state":0,"op":"max_pool_3x3"},"branch_2":{"input_state":0,"op":"sep_conv_5x5"}},{"branch_1":{"input_state":0,"op":"max_pool_3x3"},"branch_2":{"input_state":2,"op":"avg_pool_3x3"}},{"branch_1":{"input_state":2,"op":"sep_conv_5x5"},"branch_2":{"input_state":3,"op":"conv_1x7_7x1"}},{"branch_1":{"input_state":1,"op":"identity"},"branch_2":{"input_state":2,"op":"avg_pool_3x3"}},{"branch_1":{"input_state":2,"op":"sep_conv_5x5"},"branch_2":{"input_state":2,"op":"dil_sep_conv_3x3"}}]}}</x:v>
      </x:c>
      <x:c r="H35" t="str"/>
      <x:c r="I35" t="str">
        <x:v>random_initialization</x:v>
      </x:c>
      <x:c r="J35" s="15" t="n">
        <x:v>0.7056</x:v>
      </x:c>
      <x:c r="K35" s="15" t="n">
        <x:v>0.7056</x:v>
      </x:c>
      <x:c r="L35" s="15" t="n">
        <x:v>0.7056</x:v>
      </x:c>
      <x:c r="M35" s="15" t="n">
        <x:v>0.7056</x:v>
      </x:c>
      <x:c r="N35" s="16" t="n">
        <x:v>962122</x:v>
      </x:c>
      <x:c r="O35" s="17" t="n">
        <x:v>138.337953499984</x:v>
      </x:c>
      <x:c r="P35" t="str">
        <x:v>{"ages_in_evaluations":[3,2,1,0],"oldest_to_youngest_evaluation_indices":[1,2,3,4]}</x:v>
      </x:c>
      <x:c r="Q35" s="18"/>
      <x:c r="R35"/>
      <x:c r="S35"/>
      <x:c r="T35" s="19"/>
    </x:row>
    <x:row r="36">
      <x:c r="A36" t="str">
        <x:v>SA-RE</x:v>
      </x:c>
      <x:c r="B36" t="n">
        <x:v>2701</x:v>
      </x:c>
      <x:c r="C36" t="n">
        <x:v>20260831</x:v>
      </x:c>
      <x:c r="D36" t="n">
        <x:v>5</x:v>
      </x:c>
      <x:c r="E36" t="n">
        <x:v>30</x:v>
      </x:c>
      <x:c r="F36" t="str">
        <x:v>initialization</x:v>
      </x:c>
      <x:c r="G36" t="str">
        <x:v>{"normal":{"pairs":[{"branch_1":{"input_state":0,"op":"sep_conv_3x3"},"branch_2":{"input_state":0,"op":"dil_sep_conv_3x3"}},{"branch_1":{"input_state":2,"op":"sep_conv_3x3"},"branch_2":{"input_state":2,"op":"avg_pool_3x3"}},{"branch_1":{"input_state":0,"op":"max_pool_3x3"},"branch_2":{"input_state":2,"op":"dil_sep_conv_3x3"}},{"branch_1":{"input_state":0,"op":"sep_conv_3x3"},"branch_2":{"input_state":1,"op":"identity"}},{"branch_1":{"input_state":5,"op":"avg_pool_3x3"},"branch_2":{"input_state":0,"op":"sep_conv_5x5"}}]},"reduction":{"pairs":[{"branch_1":{"input_state":0,"op":"max_pool_3x3"},"branch_2":{"input_state":0,"op":"sep_conv_5x5"}},{"branch_1":{"input_state":2,"op":"conv_1x7_7x1"},"branch_2":{"input_state":0,"op":"max_pool_3x3"}},{"branch_1":{"input_state":1,"op":"sep_conv_5x5"},"branch_2":{"input_state":2,"op":"conv_1x7_7x1"}},{"branch_1":{"input_state":1,"op":"max_pool_3x3"},"branch_2":{"input_state":3,"op":"sep_conv_5x5"}},{"branch_1":{"input_state":3,"op":"dil_sep_conv_3x3"},"branch_2":{"input_state":5,"op":"avg_pool_3x3"}}]}}</x:v>
      </x:c>
      <x:c r="H36" t="str"/>
      <x:c r="I36" t="str">
        <x:v>random_initialization</x:v>
      </x:c>
      <x:c r="J36" s="15" t="n">
        <x:v>0.8146</x:v>
      </x:c>
      <x:c r="K36" s="15" t="n">
        <x:v>0.8146</x:v>
      </x:c>
      <x:c r="L36" s="15" t="n">
        <x:v>0.8146</x:v>
      </x:c>
      <x:c r="M36" s="15" t="n">
        <x:v>0.8146</x:v>
      </x:c>
      <x:c r="N36" s="16" t="n">
        <x:v>888994</x:v>
      </x:c>
      <x:c r="O36" s="17" t="n">
        <x:v>134.27050240000244</x:v>
      </x:c>
      <x:c r="P36" t="str">
        <x:v>{"ages_in_evaluations":[4,3,2,1,0],"oldest_to_youngest_evaluation_indices":[1,2,3,4,5]}</x:v>
      </x:c>
      <x:c r="Q36" s="18"/>
      <x:c r="R36"/>
      <x:c r="S36"/>
      <x:c r="T36" s="19"/>
    </x:row>
    <x:row r="37">
      <x:c r="A37" t="str">
        <x:v>SA-RE</x:v>
      </x:c>
      <x:c r="B37" t="n">
        <x:v>2701</x:v>
      </x:c>
      <x:c r="C37" t="n">
        <x:v>20260832</x:v>
      </x:c>
      <x:c r="D37" t="n">
        <x:v>6</x:v>
      </x:c>
      <x:c r="E37" t="n">
        <x:v>30</x:v>
      </x:c>
      <x:c r="F37" t="str">
        <x:v>initialization</x:v>
      </x:c>
      <x:c r="G37" t="str">
        <x:v>{"normal":{"pairs":[{"branch_1":{"input_state":1,"op":"avg_pool_3x3"},"branch_2":{"input_state":1,"op":"sep_conv_7x7"}},{"branch_1":{"input_state":1,"op":"max_pool_3x3"},"branch_2":{"input_state":0,"op":"sep_conv_7x7"}},{"branch_1":{"input_state":2,"op":"sep_conv_5x5"},"branch_2":{"input_state":1,"op":"avg_pool_3x3"}},{"branch_1":{"input_state":4,"op":"sep_conv_7x7"},"branch_2":{"input_state":4,"op":"sep_conv_5x5"}},{"branch_1":{"input_state":0,"op":"conv_1x7_7x1"},"branch_2":{"input_state":1,"op":"sep_conv_7x7"}}]},"reduction":{"pairs":[{"branch_1":{"input_state":0,"op":"identity"},"branch_2":{"input_state":1,"op":"dil_sep_conv_3x3"}},{"branch_1":{"input_state":0,"op":"max_pool_3x3"},"branch_2":{"input_state":0,"op":"avg_pool_3x3"}},{"branch_1":{"input_state":2,"op":"conv_1x7_7x1"},"branch_2":{"input_state":3,"op":"sep_conv_5x5"}},{"branch_1":{"input_state":0,"op":"sep_conv_7x7"},"branch_2":{"input_state":3,"op":"max_pool_3x3"}},{"branch_1":{"input_state":4,"op":"max_pool_3x3"},"branch_2":{"input_state":4,"op":"sep_conv_3x3"}}]}}</x:v>
      </x:c>
      <x:c r="H37" t="str"/>
      <x:c r="I37" t="str">
        <x:v>random_initialization</x:v>
      </x:c>
      <x:c r="J37" s="15" t="n">
        <x:v>0.768</x:v>
      </x:c>
      <x:c r="K37" s="15" t="n">
        <x:v>0.768</x:v>
      </x:c>
      <x:c r="L37" s="15" t="n">
        <x:v>0.768</x:v>
      </x:c>
      <x:c r="M37" s="15" t="n">
        <x:v>0.768</x:v>
      </x:c>
      <x:c r="N37" s="16" t="n">
        <x:v>1115830</x:v>
      </x:c>
      <x:c r="O37" s="17" t="n">
        <x:v>177.6887515000126</x:v>
      </x:c>
      <x:c r="P37" t="str">
        <x:v>{"ages_in_evaluations":[5,4,3,2,1,0],"oldest_to_youngest_evaluation_indices":[1,2,3,4,5,6]}</x:v>
      </x:c>
      <x:c r="Q37" s="18"/>
      <x:c r="R37"/>
      <x:c r="S37"/>
      <x:c r="T37" s="19"/>
    </x:row>
    <x:row r="38">
      <x:c r="A38" t="str">
        <x:v>SA-RE</x:v>
      </x:c>
      <x:c r="B38" t="n">
        <x:v>2701</x:v>
      </x:c>
      <x:c r="C38" t="n">
        <x:v>20260833</x:v>
      </x:c>
      <x:c r="D38" t="n">
        <x:v>7</x:v>
      </x:c>
      <x:c r="E38" t="n">
        <x:v>30</x:v>
      </x:c>
      <x:c r="F38" t="str">
        <x:v>initialization</x:v>
      </x:c>
      <x:c r="G38" t="str">
        <x:v>{"normal":{"pairs":[{"branch_1":{"input_state":0,"op":"conv_1x7_7x1"},"branch_2":{"input_state":0,"op":"avg_pool_3x3"}},{"branch_1":{"input_state":0,"op":"identity"},"branch_2":{"input_state":2,"op":"avg_pool_3x3"}},{"branch_1":{"input_state":2,"op":"sep_conv_5x5"},"branch_2":{"input_state":0,"op":"max_pool_3x3"}},{"branch_1":{"input_state":0,"op":"max_pool_3x3"},"branch_2":{"input_state":4,"op":"dil_sep_conv_3x3"}},{"branch_1":{"input_state":1,"op":"avg_pool_3x3"},"branch_2":{"input_state":0,"op":"sep_conv_3x3"}}]},"reduction":{"pairs":[{"branch_1":{"input_state":1,"op":"max_pool_3x3"},"branch_2":{"input_state":1,"op":"dil_sep_conv_3x3"}},{"branch_1":{"input_state":1,"op":"sep_conv_5x5"},"branch_2":{"input_state":1,"op":"avg_pool_3x3"}},{"branch_1":{"input_state":3,"op":"identity"},"branch_2":{"input_state":2,"op":"sep_conv_7x7"}},{"branch_1":{"input_state":1,"op":"max_pool_3x3"},"branch_2":{"input_state":2,"op":"sep_conv_5x5"}},{"branch_1":{"input_state":0,"op":"sep_conv_7x7"},"branch_2":{"input_state":5,"op":"max_pool_3x3"}}]}}</x:v>
      </x:c>
      <x:c r="H38" t="str"/>
      <x:c r="I38" t="str">
        <x:v>random_initialization</x:v>
      </x:c>
      <x:c r="J38" s="15" t="n">
        <x:v>0.8284</x:v>
      </x:c>
      <x:c r="K38" s="15" t="n">
        <x:v>0.8284</x:v>
      </x:c>
      <x:c r="L38" s="15" t="n">
        <x:v>0.8284</x:v>
      </x:c>
      <x:c r="M38" s="15" t="n">
        <x:v>0.8284</x:v>
      </x:c>
      <x:c r="N38" s="16" t="n">
        <x:v>701614</x:v>
      </x:c>
      <x:c r="O38" s="17" t="n">
        <x:v>122.79624359999434</x:v>
      </x:c>
      <x:c r="P38" t="str">
        <x:v>{"ages_in_evaluations":[6,5,4,3,2,1,0],"oldest_to_youngest_evaluation_indices":[1,2,3,4,5,6,7]}</x:v>
      </x:c>
      <x:c r="Q38" s="18"/>
      <x:c r="R38"/>
      <x:c r="S38"/>
      <x:c r="T38" s="19"/>
    </x:row>
    <x:row r="39">
      <x:c r="A39" t="str">
        <x:v>SA-RE</x:v>
      </x:c>
      <x:c r="B39" t="n">
        <x:v>2701</x:v>
      </x:c>
      <x:c r="C39" t="n">
        <x:v>20260834</x:v>
      </x:c>
      <x:c r="D39" t="n">
        <x:v>8</x:v>
      </x:c>
      <x:c r="E39" t="n">
        <x:v>30</x:v>
      </x:c>
      <x:c r="F39" t="str">
        <x:v>initialization</x:v>
      </x:c>
      <x:c r="G39" t="str">
        <x:v>{"normal":{"pairs":[{"branch_1":{"input_state":1,"op":"conv_1x7_7x1"},"branch_2":{"input_state":0,"op":"identity"}},{"branch_1":{"input_state":2,"op":"identity"},"branch_2":{"input_state":1,"op":"dil_sep_conv_3x3"}},{"branch_1":{"input_state":2,"op":"conv_1x7_7x1"},"branch_2":{"input_state":2,"op":"sep_conv_5x5"}},{"branch_1":{"input_state":0,"op":"conv_1x7_7x1"},"branch_2":{"input_state":2,"op":"dil_sep_conv_3x3"}},{"branch_1":{"input_state":4,"op":"sep_conv_3x3"},"branch_2":{"input_state":4,"op":"avg_pool_3x3"}}]},"reduction":{"pairs":[{"branch_1":{"input_state":1,"op":"conv_1x7_7x1"},"branch_2":{"input_state":1,"op":"sep_conv_7x7"}},{"branch_1":{"input_state":0,"op":"sep_conv_3x3"},"branch_2":{"input_state":1,"op":"conv_1x7_7x1"}},{"branch_1":{"input_state":3,"op":"sep_conv_3x3"},"branch_2":{"input_state":0,"op":"conv_1x7_7x1"}},{"branch_1":{"input_state":3,"op":"dil_sep_conv_3x3"},"branch_2":{"input_state":0,"op":"sep_conv_5x5"}},{"branch_1":{"input_state":4,"op":"dil_sep_conv_3x3"},"branch_2":{"input_state":4,"op":"sep_conv_7x7"}}]}}</x:v>
      </x:c>
      <x:c r="H39" t="str"/>
      <x:c r="I39" t="str">
        <x:v>random_initialization</x:v>
      </x:c>
      <x:c r="J39" s="15" t="n">
        <x:v>0.711</x:v>
      </x:c>
      <x:c r="K39" s="15" t="n">
        <x:v>0.711</x:v>
      </x:c>
      <x:c r="L39" s="15" t="n">
        <x:v>0.711</x:v>
      </x:c>
      <x:c r="M39" s="15" t="n">
        <x:v>0.711</x:v>
      </x:c>
      <x:c r="N39" s="16" t="n">
        <x:v>1008478</x:v>
      </x:c>
      <x:c r="O39" s="17" t="n">
        <x:v>173.66610829997808</x:v>
      </x:c>
      <x:c r="P39" t="str">
        <x:v>{"ages_in_evaluations":[7,6,5,4,3,2,1,0],"oldest_to_youngest_evaluation_indices":[1,2,3,4,5,6,7,8]}</x:v>
      </x:c>
      <x:c r="Q39" s="18"/>
      <x:c r="R39"/>
      <x:c r="S39"/>
      <x:c r="T39" s="19"/>
    </x:row>
    <x:row r="40">
      <x:c r="A40" t="str">
        <x:v>SA-RE</x:v>
      </x:c>
      <x:c r="B40" t="n">
        <x:v>2701</x:v>
      </x:c>
      <x:c r="C40" t="n">
        <x:v>20260835</x:v>
      </x:c>
      <x:c r="D40" t="n">
        <x:v>9</x:v>
      </x:c>
      <x:c r="E40" t="n">
        <x:v>30</x:v>
      </x:c>
      <x:c r="F40" t="str">
        <x:v>initialization</x:v>
      </x:c>
      <x:c r="G40" t="str">
        <x:v>{"normal":{"pairs":[{"branch_1":{"input_state":0,"op":"sep_conv_5x5"},"branch_2":{"input_state":1,"op":"sep_conv_7x7"}},{"branch_1":{"input_state":2,"op":"identity"},"branch_2":{"input_state":2,"op":"sep_conv_5x5"}},{"branch_1":{"input_state":0,"op":"identity"},"branch_2":{"input_state":3,"op":"conv_1x7_7x1"}},{"branch_1":{"input_state":2,"op":"sep_conv_7x7"},"branch_2":{"input_state":2,"op":"sep_conv_3x3"}},{"branch_1":{"input_state":1,"op":"dil_sep_conv_3x3"},"branch_2":{"input_state":0,"op":"conv_1x7_7x1"}}]},"reduction":{"pairs":[{"branch_1":{"input_state":0,"op":"avg_pool_3x3"},"branch_2":{"input_state":0,"op":"max_pool_3x3"}},{"branch_1":{"input_state":2,"op":"avg_pool_3x3"},"branch_2":{"input_state":1,"op":"sep_conv_5x5"}},{"branch_1":{"input_state":1,"op":"sep_conv_3x3"},"branch_2":{"input_state":2,"op":"sep_conv_5x5"}},{"branch_1":{"input_state":0,"op":"avg_pool_3x3"},"branch_2":{"input_state":0,"op":"avg_pool_3x3"}},{"branch_1":{"input_state":3,"op":"avg_pool_3x3"},"branch_2":{"input_state":5,"op":"sep_conv_5x5"}}]}}</x:v>
      </x:c>
      <x:c r="H40" t="str"/>
      <x:c r="I40" t="str">
        <x:v>random_initialization</x:v>
      </x:c>
      <x:c r="J40" s="15" t="n">
        <x:v>0.7226</x:v>
      </x:c>
      <x:c r="K40" s="15" t="n">
        <x:v>0.7226</x:v>
      </x:c>
      <x:c r="L40" s="15" t="n">
        <x:v>0.7226</x:v>
      </x:c>
      <x:c r="M40" s="15" t="n">
        <x:v>0.7226</x:v>
      </x:c>
      <x:c r="N40" s="16" t="n">
        <x:v>1056394</x:v>
      </x:c>
      <x:c r="O40" s="17" t="n">
        <x:v>172.95656880000024</x:v>
      </x:c>
      <x:c r="P40" t="str">
        <x:v>{"ages_in_evaluations":[8,7,6,5,4,3,2,1,0],"oldest_to_youngest_evaluation_indices":[1,2,3,4,5,6,7,8,9]}</x:v>
      </x:c>
      <x:c r="Q40" s="18"/>
      <x:c r="R40"/>
      <x:c r="S40"/>
      <x:c r="T40" s="19"/>
    </x:row>
    <x:row r="41">
      <x:c r="A41" t="str">
        <x:v>SA-RE</x:v>
      </x:c>
      <x:c r="B41" t="n">
        <x:v>2701</x:v>
      </x:c>
      <x:c r="C41" t="n">
        <x:v>20260836</x:v>
      </x:c>
      <x:c r="D41" t="n">
        <x:v>10</x:v>
      </x:c>
      <x:c r="E41" t="n">
        <x:v>30</x:v>
      </x:c>
      <x:c r="F41" t="str">
        <x:v>initialization</x:v>
      </x:c>
      <x:c r="G41" t="str">
        <x:v>{"normal":{"pairs":[{"branch_1":{"input_state":0,"op":"sep_conv_5x5"},"branch_2":{"input_state":0,"op":"avg_pool_3x3"}},{"branch_1":{"input_state":1,"op":"sep_conv_3x3"},"branch_2":{"input_state":1,"op":"avg_pool_3x3"}},{"branch_1":{"input_state":1,"op":"identity"},"branch_2":{"input_state":1,"op":"avg_pool_3x3"}},{"branch_1":{"input_state":1,"op":"sep_conv_3x3"},"branch_2":{"input_state":3,"op":"dil_sep_conv_3x3"}},{"branch_1":{"input_state":1,"op":"max_pool_3x3"},"branch_2":{"input_state":3,"op":"identity"}}]},"reduction":{"pairs":[{"branch_1":{"input_state":1,"op":"avg_pool_3x3"},"branch_2":{"input_state":1,"op":"avg_pool_3x3"}},{"branch_1":{"input_state":0,"op":"identity"},"branch_2":{"input_state":0,"op":"avg_pool_3x3"}},{"branch_1":{"input_state":2,"op":"conv_1x7_7x1"},"branch_2":{"input_state":3,"op":"sep_conv_3x3"}},{"branch_1":{"input_state":2,"op":"sep_conv_5x5"},"branch_2":{"input_state":2,"op":"conv_1x7_7x1"}},{"branch_1":{"input_state":3,"op":"sep_conv_3x3"},"branch_2":{"input_state":3,"op":"dil_sep_conv_3x3"}}]}}</x:v>
      </x:c>
      <x:c r="H41" t="str"/>
      <x:c r="I41" t="str">
        <x:v>random_initialization</x:v>
      </x:c>
      <x:c r="J41" s="15" t="n">
        <x:v>0.809</x:v>
      </x:c>
      <x:c r="K41" s="15" t="n">
        <x:v>0.809</x:v>
      </x:c>
      <x:c r="L41" s="15" t="n">
        <x:v>0.809</x:v>
      </x:c>
      <x:c r="M41" s="15" t="n">
        <x:v>0.809</x:v>
      </x:c>
      <x:c r="N41" s="16" t="n">
        <x:v>801826</x:v>
      </x:c>
      <x:c r="O41" s="17" t="n">
        <x:v>117.77946130000056</x:v>
      </x:c>
      <x:c r="P41" t="str">
        <x:v>{"ages_in_evaluations":[9,8,7,6,5,4,3,2,1,0],"oldest_to_youngest_evaluation_indices":[1,2,3,4,5,6,7,8,9,10]}</x:v>
      </x:c>
      <x:c r="Q41" s="18"/>
      <x:c r="R41"/>
      <x:c r="S41"/>
      <x:c r="T41" s="19"/>
    </x:row>
    <x:row r="42">
      <x:c r="A42" t="str">
        <x:v>SA-RE</x:v>
      </x:c>
      <x:c r="B42" t="n">
        <x:v>2701</x:v>
      </x:c>
      <x:c r="C42" t="n">
        <x:v>20260837</x:v>
      </x:c>
      <x:c r="D42" t="n">
        <x:v>11</x:v>
      </x:c>
      <x:c r="E42" t="n">
        <x:v>30</x:v>
      </x:c>
      <x:c r="F42" t="str">
        <x:v>initialization</x:v>
      </x:c>
      <x:c r="G42" t="str">
        <x:v>{"normal":{"pairs":[{"branch_1":{"input_state":1,"op":"dil_sep_conv_3x3"},"branch_2":{"input_state":0,"op":"dil_sep_conv_3x3"}},{"branch_1":{"input_state":2,"op":"avg_pool_3x3"},"branch_2":{"input_state":0,"op":"sep_conv_5x5"}},{"branch_1":{"input_state":2,"op":"avg_pool_3x3"},"branch_2":{"input_state":1,"op":"identity"}},{"branch_1":{"input_state":2,"op":"conv_1x7_7x1"},"branch_2":{"input_state":1,"op":"dil_sep_conv_3x3"}},{"branch_1":{"input_state":0,"op":"avg_pool_3x3"},"branch_2":{"input_state":3,"op":"max_pool_3x3"}}]},"reduction":{"pairs":[{"branch_1":{"input_state":1,"op":"sep_conv_7x7"},"branch_2":{"input_state":0,"op":"conv_1x7_7x1"}},{"branch_1":{"input_state":2,"op":"identity"},"branch_2":{"input_state":2,"op":"identity"}},{"branch_1":{"input_state":1,"op":"sep_conv_3x3"},"branch_2":{"input_state":0,"op":"conv_1x7_7x1"}},{"branch_1":{"input_state":1,"op":"dil_sep_conv_3x3"},"branch_2":{"input_state":2,"op":"sep_conv_5x5"}},{"branch_1":{"input_state":2,"op":"dil_sep_conv_3x3"},"branch_2":{"input_state":5,"op":"sep_conv_3x3"}}]}}</x:v>
      </x:c>
      <x:c r="H42" t="str"/>
      <x:c r="I42" t="str">
        <x:v>random_initialization</x:v>
      </x:c>
      <x:c r="J42" s="15" t="n">
        <x:v>0.7788</x:v>
      </x:c>
      <x:c r="K42" s="15" t="n">
        <x:v>0.7788</x:v>
      </x:c>
      <x:c r="L42" s="15" t="n">
        <x:v>0.7788</x:v>
      </x:c>
      <x:c r="M42" s="15" t="n">
        <x:v>0.7788</x:v>
      </x:c>
      <x:c r="N42" s="16" t="n">
        <x:v>851086</x:v>
      </x:c>
      <x:c r="O42" s="17" t="n">
        <x:v>137.86186039997847</x:v>
      </x:c>
      <x:c r="P42" t="str">
        <x:v>{"ages_in_evaluations":[10,9,8,7,6,5,4,3,2,1,0],"oldest_to_youngest_evaluation_indices":[1,2,3,4,5,6,7,8,9,10,11]}</x:v>
      </x:c>
      <x:c r="Q42" s="18"/>
      <x:c r="R42"/>
      <x:c r="S42"/>
      <x:c r="T42" s="19"/>
    </x:row>
    <x:row r="43">
      <x:c r="A43" t="str">
        <x:v>SA-RE</x:v>
      </x:c>
      <x:c r="B43" t="n">
        <x:v>2701</x:v>
      </x:c>
      <x:c r="C43" t="n">
        <x:v>20260838</x:v>
      </x:c>
      <x:c r="D43" t="n">
        <x:v>12</x:v>
      </x:c>
      <x:c r="E43" t="n">
        <x:v>30</x:v>
      </x:c>
      <x:c r="F43" t="str">
        <x:v>initialization</x:v>
      </x:c>
      <x:c r="G43" t="str">
        <x:v>{"normal":{"pairs":[{"branch_1":{"input_state":0,"op":"sep_conv_7x7"},"branch_2":{"input_state":1,"op":"sep_conv_3x3"}},{"branch_1":{"input_state":0,"op":"identity"},"branch_2":{"input_state":1,"op":"sep_conv_7x7"}},{"branch_1":{"input_state":3,"op":"dil_sep_conv_3x3"},"branch_2":{"input_state":2,"op":"sep_conv_5x5"}},{"branch_1":{"input_state":3,"op":"avg_pool_3x3"},"branch_2":{"input_state":1,"op":"dil_sep_conv_3x3"}},{"branch_1":{"input_state":5,"op":"conv_1x7_7x1"},"branch_2":{"input_state":3,"op":"avg_pool_3x3"}}]},"reduction":{"pairs":[{"branch_1":{"input_state":0,"op":"dil_sep_conv_3x3"},"branch_2":{"input_state":0,"op":"conv_1x7_7x1"}},{"branch_1":{"input_state":0,"op":"max_pool_3x3"},"branch_2":{"input_state":2,"op":"max_pool_3x3"}},{"branch_1":{"input_state":1,"op":"max_pool_3x3"},"branch_2":{"input_state":0,"op":"dil_sep_conv_3x3"}},{"branch_1":{"input_state":0,"op":"dil_sep_conv_3x3"},"branch_2":{"input_state":2,"op":"sep_conv_5x5"}},{"branch_1":{"input_state":3,"op":"avg_pool_3x3"},"branch_2":{"input_state":5,"op":"dil_sep_conv_3x3"}}]}}</x:v>
      </x:c>
      <x:c r="H43" t="str"/>
      <x:c r="I43" t="str">
        <x:v>random_initialization</x:v>
      </x:c>
      <x:c r="J43" s="15" t="n">
        <x:v>0.7224</x:v>
      </x:c>
      <x:c r="K43" s="15" t="n">
        <x:v>0.7224</x:v>
      </x:c>
      <x:c r="L43" s="15" t="n">
        <x:v>0.7224</x:v>
      </x:c>
      <x:c r="M43" s="15" t="n">
        <x:v>0.7224</x:v>
      </x:c>
      <x:c r="N43" s="16" t="n">
        <x:v>955606</x:v>
      </x:c>
      <x:c r="O43" s="17" t="n">
        <x:v>159.58784779999405</x:v>
      </x:c>
      <x:c r="P43" t="str">
        <x:v>{"ages_in_evaluations":[11,10,9,8,7,6,5,4,3,2,1,0],"oldest_to_youngest_evaluation_indices":[1,2,3,4,5,6,7,8,9,10,11,12]}</x:v>
      </x:c>
      <x:c r="Q43" s="18"/>
      <x:c r="R43"/>
      <x:c r="S43"/>
      <x:c r="T43" s="19"/>
    </x:row>
    <x:row r="44">
      <x:c r="A44" t="str">
        <x:v>SA-RE</x:v>
      </x:c>
      <x:c r="B44" t="n">
        <x:v>2701</x:v>
      </x:c>
      <x:c r="C44" t="n">
        <x:v>20260839</x:v>
      </x:c>
      <x:c r="D44" t="n">
        <x:v>13</x:v>
      </x:c>
      <x:c r="E44" t="n">
        <x:v>30</x:v>
      </x:c>
      <x:c r="F44" t="str">
        <x:v>initialization</x:v>
      </x:c>
      <x:c r="G44" t="str">
        <x:v>{"normal":{"pairs":[{"branch_1":{"input_state":0,"op":"identity"},"branch_2":{"input_state":1,"op":"dil_sep_conv_3x3"}},{"branch_1":{"input_state":2,"op":"dil_sep_conv_3x3"},"branch_2":{"input_state":0,"op":"conv_1x7_7x1"}},{"branch_1":{"input_state":2,"op":"conv_1x7_7x1"},"branch_2":{"input_state":0,"op":"sep_conv_5x5"}},{"branch_1":{"input_state":2,"op":"dil_sep_conv_3x3"},"branch_2":{"input_state":3,"op":"avg_pool_3x3"}},{"branch_1":{"input_state":4,"op":"identity"},"branch_2":{"input_state":3,"op":"dil_sep_conv_3x3"}}]},"reduction":{"pairs":[{"branch_1":{"input_state":1,"op":"dil_sep_conv_3x3"},"branch_2":{"input_state":0,"op":"max_pool_3x3"}},{"branch_1":{"input_state":2,"op":"max_pool_3x3"},"branch_2":{"input_state":0,"op":"sep_conv_5x5"}},{"branch_1":{"input_state":2,"op":"conv_1x7_7x1"},"branch_2":{"input_state":0,"op":"conv_1x7_7x1"}},{"branch_1":{"input_state":0,"op":"sep_conv_3x3"},"branch_2":{"input_state":4,"op":"sep_conv_5x5"}},{"branch_1":{"input_state":5,"op":"max_pool_3x3"},"branch_2":{"input_state":3,"op":"identity"}}]}}</x:v>
      </x:c>
      <x:c r="H44" t="str"/>
      <x:c r="I44" t="str">
        <x:v>random_initialization</x:v>
      </x:c>
      <x:c r="J44" s="15" t="n">
        <x:v>0.7442</x:v>
      </x:c>
      <x:c r="K44" s="15" t="n">
        <x:v>0.7442</x:v>
      </x:c>
      <x:c r="L44" s="15" t="n">
        <x:v>0.7442</x:v>
      </x:c>
      <x:c r="M44" s="15" t="n">
        <x:v>0.7442</x:v>
      </x:c>
      <x:c r="N44" s="16" t="n">
        <x:v>802858</x:v>
      </x:c>
      <x:c r="O44" s="17" t="n">
        <x:v>153.2879558999848</x:v>
      </x:c>
      <x:c r="P44" t="str">
        <x:v>{"ages_in_evaluations":[12,11,10,9,8,7,6,5,4,3,2,1,0],"oldest_to_youngest_evaluation_indices":[1,2,3,4,5,6,7,8,9,10,11,12,13]}</x:v>
      </x:c>
      <x:c r="Q44" s="18"/>
      <x:c r="R44"/>
      <x:c r="S44"/>
      <x:c r="T44" s="19"/>
    </x:row>
    <x:row r="45">
      <x:c r="A45" t="str">
        <x:v>SA-RE</x:v>
      </x:c>
      <x:c r="B45" t="n">
        <x:v>2701</x:v>
      </x:c>
      <x:c r="C45" t="n">
        <x:v>20260840</x:v>
      </x:c>
      <x:c r="D45" t="n">
        <x:v>14</x:v>
      </x:c>
      <x:c r="E45" t="n">
        <x:v>30</x:v>
      </x:c>
      <x:c r="F45" t="str">
        <x:v>initialization</x:v>
      </x:c>
      <x:c r="G45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  <x:c r="H45" t="str"/>
      <x:c r="I45" t="str">
        <x:v>random_initialization</x:v>
      </x:c>
      <x:c r="J45" s="15" t="n">
        <x:v>0.8184</x:v>
      </x:c>
      <x:c r="K45" s="15" t="n">
        <x:v>0.8184</x:v>
      </x:c>
      <x:c r="L45" s="15" t="n">
        <x:v>0.8184</x:v>
      </x:c>
      <x:c r="M45" s="15" t="n">
        <x:v>0.8184</x:v>
      </x:c>
      <x:c r="N45" s="16" t="n">
        <x:v>690274</x:v>
      </x:c>
      <x:c r="O45" s="17" t="n">
        <x:v>110.9457790000015</x:v>
      </x:c>
      <x:c r="P45" t="str">
        <x:v>{"ages_in_evaluations":[13,12,11,10,9,8,7,6,5,4,3,2,1,0],"oldest_to_youngest_evaluation_indices":[1,2,3,4,5,6,7,8,9,10,11,12,13,14]}</x:v>
      </x:c>
      <x:c r="Q45" s="18"/>
      <x:c r="R45"/>
      <x:c r="S45"/>
      <x:c r="T45" s="19"/>
    </x:row>
    <x:row r="46">
      <x:c r="A46" t="str">
        <x:v>SA-RE</x:v>
      </x:c>
      <x:c r="B46" t="n">
        <x:v>2701</x:v>
      </x:c>
      <x:c r="C46" t="n">
        <x:v>20260841</x:v>
      </x:c>
      <x:c r="D46" t="n">
        <x:v>15</x:v>
      </x:c>
      <x:c r="E46" t="n">
        <x:v>30</x:v>
      </x:c>
      <x:c r="F46" t="str">
        <x:v>initialization</x:v>
      </x:c>
      <x:c r="G46" t="str">
        <x:v>{"normal":{"pairs":[{"branch_1":{"input_state":0,"op":"identity"},"branch_2":{"input_state":1,"op":"dil_sep_conv_3x3"}},{"branch_1":{"input_state":0,"op":"dil_sep_conv_3x3"},"branch_2":{"input_state":1,"op":"avg_pool_3x3"}},{"branch_1":{"input_state":2,"op":"sep_conv_3x3"},"branch_2":{"input_state":3,"op":"sep_conv_3x3"}},{"branch_1":{"input_state":2,"op":"dil_sep_conv_3x3"},"branch_2":{"input_state":4,"op":"dil_sep_conv_3x3"}},{"branch_1":{"input_state":3,"op":"dil_sep_conv_3x3"},"branch_2":{"input_state":0,"op":"conv_1x7_7x1"}}]},"reduction":{"pairs":[{"branch_1":{"input_state":0,"op":"sep_conv_3x3"},"branch_2":{"input_state":0,"op":"avg_pool_3x3"}},{"branch_1":{"input_state":1,"op":"dil_sep_conv_3x3"},"branch_2":{"input_state":0,"op":"max_pool_3x3"}},{"branch_1":{"input_state":1,"op":"identity"},"branch_2":{"input_state":1,"op":"sep_conv_3x3"}},{"branch_1":{"input_state":3,"op":"sep_conv_3x3"},"branch_2":{"input_state":3,"op":"sep_conv_5x5"}},{"branch_1":{"input_state":3,"op":"conv_1x7_7x1"},"branch_2":{"input_state":2,"op":"dil_sep_conv_3x3"}}]}}</x:v>
      </x:c>
      <x:c r="H46" t="str"/>
      <x:c r="I46" t="str">
        <x:v>random_initialization</x:v>
      </x:c>
      <x:c r="J46" s="15" t="n">
        <x:v>0.6932</x:v>
      </x:c>
      <x:c r="K46" s="15" t="n">
        <x:v>0.6932</x:v>
      </x:c>
      <x:c r="L46" s="15" t="n">
        <x:v>0.6932</x:v>
      </x:c>
      <x:c r="M46" s="15" t="n">
        <x:v>0.6932</x:v>
      </x:c>
      <x:c r="N46" s="16" t="n">
        <x:v>1003558</x:v>
      </x:c>
      <x:c r="O46" s="17" t="n">
        <x:v>148.20753520002472</x:v>
      </x:c>
      <x:c r="P46" t="str">
        <x:v>{"ages_in_evaluations":[14,13,12,11,10,9,8,7,6,5,4,3,2,1,0],"oldest_to_youngest_evaluation_indices":[1,2,3,4,5,6,7,8,9,10,11,12,13,14,15]}</x:v>
      </x:c>
      <x:c r="Q46" s="18"/>
      <x:c r="R46"/>
      <x:c r="S46"/>
      <x:c r="T46" s="19"/>
    </x:row>
    <x:row r="47">
      <x:c r="A47" t="str">
        <x:v>SA-RE</x:v>
      </x:c>
      <x:c r="B47" t="n">
        <x:v>2701</x:v>
      </x:c>
      <x:c r="C47" t="n">
        <x:v>20260842</x:v>
      </x:c>
      <x:c r="D47" t="n">
        <x:v>16</x:v>
      </x:c>
      <x:c r="E47" t="n">
        <x:v>30</x:v>
      </x:c>
      <x:c r="F47" t="str">
        <x:v>initialization</x:v>
      </x:c>
      <x:c r="G47" t="str">
        <x:v>{"normal":{"pairs":[{"branch_1":{"input_state":1,"op":"dil_sep_conv_3x3"},"branch_2":{"input_state":0,"op":"dil_sep_conv_3x3"}},{"branch_1":{"input_state":1,"op":"conv_1x7_7x1"},"branch_2":{"input_state":1,"op":"conv_1x7_7x1"}},{"branch_1":{"input_state":3,"op":"identity"},"branch_2":{"input_state":2,"op":"identity"}},{"branch_1":{"input_state":4,"op":"avg_pool_3x3"},"branch_2":{"input_state":2,"op":"identity"}},{"branch_1":{"input_state":3,"op":"sep_conv_5x5"},"branch_2":{"input_state":1,"op":"max_pool_3x3"}}]},"reduction":{"pairs":[{"branch_1":{"input_state":0,"op":"sep_conv_7x7"},"branch_2":{"input_state":1,"op":"sep_conv_5x5"}},{"branch_1":{"input_state":0,"op":"avg_pool_3x3"},"branch_2":{"input_state":2,"op":"avg_pool_3x3"}},{"branch_1":{"input_state":1,"op":"avg_pool_3x3"},"branch_2":{"input_state":0,"op":"sep_conv_3x3"}},{"branch_1":{"input_state":3,"op":"identity"},"branch_2":{"input_state":4,"op":"dil_sep_conv_3x3"}},{"branch_1":{"input_state":2,"op":"identity"},"branch_2":{"input_state":1,"op":"sep_conv_5x5"}}]}}</x:v>
      </x:c>
      <x:c r="H47" t="str"/>
      <x:c r="I47" t="str">
        <x:v>random_initialization</x:v>
      </x:c>
      <x:c r="J47" s="15" t="n">
        <x:v>0.7486</x:v>
      </x:c>
      <x:c r="K47" s="15" t="n">
        <x:v>0.7486</x:v>
      </x:c>
      <x:c r="L47" s="15" t="n">
        <x:v>0.7486</x:v>
      </x:c>
      <x:c r="M47" s="15" t="n">
        <x:v>0.7486</x:v>
      </x:c>
      <x:c r="N47" s="16" t="n">
        <x:v>675418</x:v>
      </x:c>
      <x:c r="O47" s="17" t="n">
        <x:v>122.80480889999308</x:v>
      </x:c>
      <x:c r="P47" t="str">
        <x:v>{"ages_in_evaluations":[15,14,13,12,11,10,9,8,7,6,5,4,3,2,1,0],"oldest_to_youngest_evaluation_indices":[1,2,3,4,5,6,7,8,9,10,11,12,13,14,15,16]}</x:v>
      </x:c>
      <x:c r="Q47" s="18"/>
      <x:c r="R47"/>
      <x:c r="S47"/>
      <x:c r="T47" s="19"/>
    </x:row>
    <x:row r="48">
      <x:c r="A48" t="str">
        <x:v>SA-RE</x:v>
      </x:c>
      <x:c r="B48" t="n">
        <x:v>2701</x:v>
      </x:c>
      <x:c r="C48" t="n">
        <x:v>20260843</x:v>
      </x:c>
      <x:c r="D48" t="n">
        <x:v>17</x:v>
      </x:c>
      <x:c r="E48" t="n">
        <x:v>30</x:v>
      </x:c>
      <x:c r="F48" t="str">
        <x:v>initialization</x:v>
      </x:c>
      <x:c r="G48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H48" t="str"/>
      <x:c r="I48" t="str">
        <x:v>random_initialization</x:v>
      </x:c>
      <x:c r="J48" s="15" t="n">
        <x:v>0.822</x:v>
      </x:c>
      <x:c r="K48" s="15" t="n">
        <x:v>0.822</x:v>
      </x:c>
      <x:c r="L48" s="15" t="n">
        <x:v>0.822</x:v>
      </x:c>
      <x:c r="M48" s="15" t="n">
        <x:v>0.822</x:v>
      </x:c>
      <x:c r="N48" s="16" t="n">
        <x:v>945214</x:v>
      </x:c>
      <x:c r="O48" s="17" t="n">
        <x:v>137.19052470001043</x:v>
      </x:c>
      <x:c r="P48" t="str">
        <x:v>{"ages_in_evaluations":[16,15,14,13,12,11,10,9,8,7,6,5,4,3,2,1,0],"oldest_to_youngest_evaluation_indices":[1,2,3,4,5,6,7,8,9,10,11,12,13,14,15,16,17]}</x:v>
      </x:c>
      <x:c r="Q48" s="18"/>
      <x:c r="R48"/>
      <x:c r="S48"/>
      <x:c r="T48" s="19"/>
    </x:row>
    <x:row r="49">
      <x:c r="A49" t="str">
        <x:v>SA-RE</x:v>
      </x:c>
      <x:c r="B49" t="n">
        <x:v>2701</x:v>
      </x:c>
      <x:c r="C49" t="n">
        <x:v>20260844</x:v>
      </x:c>
      <x:c r="D49" t="n">
        <x:v>18</x:v>
      </x:c>
      <x:c r="E49" t="n">
        <x:v>30</x:v>
      </x:c>
      <x:c r="F49" t="str">
        <x:v>initialization</x:v>
      </x:c>
      <x:c r="G49" t="str">
        <x:v>{"normal":{"pairs":[{"branch_1":{"input_state":1,"op":"dil_sep_conv_3x3"},"branch_2":{"input_state":0,"op":"identity"}},{"branch_1":{"input_state":2,"op":"sep_conv_5x5"},"branch_2":{"input_state":0,"op":"conv_1x7_7x1"}},{"branch_1":{"input_state":2,"op":"identity"},"branch_2":{"input_state":1,"op":"avg_pool_3x3"}},{"branch_1":{"input_state":4,"op":"conv_1x7_7x1"},"branch_2":{"input_state":0,"op":"sep_conv_5x5"}},{"branch_1":{"input_state":0,"op":"max_pool_3x3"},"branch_2":{"input_state":2,"op":"sep_conv_5x5"}}]},"reduction":{"pairs":[{"branch_1":{"input_state":1,"op":"sep_conv_5x5"},"branch_2":{"input_state":1,"op":"identity"}},{"branch_1":{"input_state":2,"op":"avg_pool_3x3"},"branch_2":{"input_state":0,"op":"avg_pool_3x3"}},{"branch_1":{"input_state":1,"op":"dil_sep_conv_3x3"},"branch_2":{"input_state":0,"op":"conv_1x7_7x1"}},{"branch_1":{"input_state":3,"op":"conv_1x7_7x1"},"branch_2":{"input_state":3,"op":"sep_conv_3x3"}},{"branch_1":{"input_state":4,"op":"identity"},"branch_2":{"input_state":2,"op":"sep_conv_5x5"}}]}}</x:v>
      </x:c>
      <x:c r="H49" t="str"/>
      <x:c r="I49" t="str">
        <x:v>random_initialization</x:v>
      </x:c>
      <x:c r="J49" s="15" t="n">
        <x:v>0.757</x:v>
      </x:c>
      <x:c r="K49" s="15" t="n">
        <x:v>0.757</x:v>
      </x:c>
      <x:c r="L49" s="15" t="n">
        <x:v>0.757</x:v>
      </x:c>
      <x:c r="M49" s="15" t="n">
        <x:v>0.757</x:v>
      </x:c>
      <x:c r="N49" s="16" t="n">
        <x:v>864442</x:v>
      </x:c>
      <x:c r="O49" s="17" t="n">
        <x:v>147.94070680000004</x:v>
      </x:c>
      <x:c r="P49" t="str">
        <x:v>{"ages_in_evaluations":[17,16,15,14,13,12,11,10,9,8,7,6,5,4,3,2,1,0],"oldest_to_youngest_evaluation_indices":[1,2,3,4,5,6,7,8,9,10,11,12,13,14,15,16,17,18]}</x:v>
      </x:c>
      <x:c r="Q49" s="18"/>
      <x:c r="R49"/>
      <x:c r="S49"/>
      <x:c r="T49" s="19"/>
    </x:row>
    <x:row r="50">
      <x:c r="A50" t="str">
        <x:v>SA-RE</x:v>
      </x:c>
      <x:c r="B50" t="n">
        <x:v>2701</x:v>
      </x:c>
      <x:c r="C50" t="n">
        <x:v>20260845</x:v>
      </x:c>
      <x:c r="D50" t="n">
        <x:v>19</x:v>
      </x:c>
      <x:c r="E50" t="n">
        <x:v>30</x:v>
      </x:c>
      <x:c r="F50" t="str">
        <x:v>initialization</x:v>
      </x:c>
      <x:c r="G50" t="str">
        <x:v>{"normal":{"pairs":[{"branch_1":{"input_state":1,"op":"sep_conv_5x5"},"branch_2":{"input_state":0,"op":"dil_sep_conv_3x3"}},{"branch_1":{"input_state":2,"op":"dil_sep_conv_3x3"},"branch_2":{"input_state":1,"op":"sep_conv_3x3"}},{"branch_1":{"input_state":0,"op":"dil_sep_conv_3x3"},"branch_2":{"input_state":3,"op":"max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5x5"},"branch_2":{"input_state":1,"op":"max_pool_3x3"}}]}}</x:v>
      </x:c>
      <x:c r="H50" t="str"/>
      <x:c r="I50" t="str">
        <x:v>random_initialization</x:v>
      </x:c>
      <x:c r="J50" s="15" t="n">
        <x:v>0.7586</x:v>
      </x:c>
      <x:c r="K50" s="15" t="n">
        <x:v>0.7586</x:v>
      </x:c>
      <x:c r="L50" s="15" t="n">
        <x:v>0.7586</x:v>
      </x:c>
      <x:c r="M50" s="15" t="n">
        <x:v>0.7586</x:v>
      </x:c>
      <x:c r="N50" s="16" t="n">
        <x:v>781714</x:v>
      </x:c>
      <x:c r="O50" s="17" t="n">
        <x:v>116.89365579999868</x:v>
      </x:c>
      <x:c r="P50" t="str">
        <x:v>{"ages_in_evaluations":[18,17,16,15,14,13,12,11,10,9,8,7,6,5,4,3,2,1,0],"oldest_to_youngest_evaluation_indices":[1,2,3,4,5,6,7,8,9,10,11,12,13,14,15,16,17,18,19]}</x:v>
      </x:c>
      <x:c r="Q50" s="18"/>
      <x:c r="R50"/>
      <x:c r="S50"/>
      <x:c r="T50" s="19"/>
    </x:row>
    <x:row r="51">
      <x:c r="A51" t="str">
        <x:v>SA-RE</x:v>
      </x:c>
      <x:c r="B51" t="n">
        <x:v>2701</x:v>
      </x:c>
      <x:c r="C51" t="n">
        <x:v>20260846</x:v>
      </x:c>
      <x:c r="D51" t="n">
        <x:v>20</x:v>
      </x:c>
      <x:c r="E51" t="n">
        <x:v>30</x:v>
      </x:c>
      <x:c r="F51" t="str">
        <x:v>initialization</x:v>
      </x:c>
      <x:c r="G51" t="str">
        <x:v>{"normal":{"pairs":[{"branch_1":{"input_state":0,"op":"sep_conv_5x5"},"branch_2":{"input_state":0,"op":"sep_conv_3x3"}},{"branch_1":{"input_state":2,"op":"avg_pool_3x3"},"branch_2":{"input_state":0,"op":"max_pool_3x3"}},{"branch_1":{"input_state":3,"op":"max_pool_3x3"},"branch_2":{"input_state":3,"op":"avg_pool_3x3"}},{"branch_1":{"input_state":3,"op":"max_pool_3x3"},"branch_2":{"input_state":1,"op":"sep_conv_3x3"}},{"branch_1":{"input_state":0,"op":"conv_1x7_7x1"},"branch_2":{"input_state":4,"op":"identity"}}]},"reduction":{"pairs":[{"branch_1":{"input_state":1,"op":"sep_conv_7x7"},"branch_2":{"input_state":0,"op":"max_pool_3x3"}},{"branch_1":{"input_state":0,"op":"avg_pool_3x3"},"branch_2":{"input_state":1,"op":"dil_sep_conv_3x3"}},{"branch_1":{"input_state":0,"op":"sep_conv_7x7"},"branch_2":{"input_state":0,"op":"identity"}},{"branch_1":{"input_state":2,"op":"sep_conv_3x3"},"branch_2":{"input_state":2,"op":"sep_conv_7x7"}},{"branch_1":{"input_state":4,"op":"conv_1x7_7x1"},"branch_2":{"input_state":3,"op":"max_pool_3x3"}}]}}</x:v>
      </x:c>
      <x:c r="H51" t="str"/>
      <x:c r="I51" t="str">
        <x:v>random_initialization</x:v>
      </x:c>
      <x:c r="J51" s="15" t="n">
        <x:v>0.812</x:v>
      </x:c>
      <x:c r="K51" s="15" t="n">
        <x:v>0.812</x:v>
      </x:c>
      <x:c r="L51" s="15" t="n">
        <x:v>0.812</x:v>
      </x:c>
      <x:c r="M51" s="15" t="n">
        <x:v>0.812</x:v>
      </x:c>
      <x:c r="N51" s="16" t="n">
        <x:v>665734</x:v>
      </x:c>
      <x:c r="O51" s="17" t="n">
        <x:v>118.2656417999824</x:v>
      </x:c>
      <x:c r="P51" t="str">
        <x:v>{"ages_in_evaluations":[19,18,17,16,15,14,13,12,11,10,9,8,7,6,5,4,3,2,1,0],"oldest_to_youngest_evaluation_indices":[1,2,3,4,5,6,7,8,9,10,11,12,13,14,15,16,17,18,19,20]}</x:v>
      </x:c>
      <x:c r="Q51" s="18"/>
      <x:c r="R51"/>
      <x:c r="S51"/>
      <x:c r="T51" s="19"/>
    </x:row>
    <x:row r="52">
      <x:c r="A52" t="str">
        <x:v>SA-RE</x:v>
      </x:c>
      <x:c r="B52" t="n">
        <x:v>2701</x:v>
      </x:c>
      <x:c r="C52" t="n">
        <x:v>20260847</x:v>
      </x:c>
      <x:c r="D52" t="n">
        <x:v>21</x:v>
      </x:c>
      <x:c r="E52" t="n">
        <x:v>30</x:v>
      </x:c>
      <x:c r="F52" t="str">
        <x:v>evolution</x:v>
      </x:c>
      <x:c r="G52" t="str">
        <x:v>{"normal":{"pairs":[{"branch_1":{"input_state":1,"op":"sep_conv_5x5"},"branch_2":{"input_state":0,"op":"dil_sep_conv_3x3"}},{"branch_1":{"input_state":2,"op":"dil_sep_conv_3x3"},"branch_2":{"input_state":1,"op":"sep_conv_3x3"}},{"branch_1":{"input_state":0,"op":"dil_sep_conv_3x3"},"branch_2":{"input_state":3,"op":"max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7x7"},"branch_2":{"input_state":1,"op":"max_pool_3x3"}}]}}</x:v>
      </x:c>
      <x:c r="H52" t="str">
        <x:v>{"normal":{"pairs":[{"branch_1":{"input_state":1,"op":"sep_conv_5x5"},"branch_2":{"input_state":0,"op":"dil_sep_conv_3x3"}},{"branch_1":{"input_state":2,"op":"dil_sep_conv_3x3"},"branch_2":{"input_state":1,"op":"sep_conv_3x3"}},{"branch_1":{"input_state":0,"op":"dil_sep_conv_3x3"},"branch_2":{"input_state":3,"op":"max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5x5"},"branch_2":{"input_state":1,"op":"max_pool_3x3"}}]}}</x:v>
      </x:c>
      <x:c r="I52" t="str">
        <x:v>operation</x:v>
      </x:c>
      <x:c r="J52" s="15" t="n">
        <x:v>0.7598</x:v>
      </x:c>
      <x:c r="K52" s="15" t="n">
        <x:v>0.7598</x:v>
      </x:c>
      <x:c r="L52" s="15" t="n">
        <x:v>0.7598</x:v>
      </x:c>
      <x:c r="M52" s="15" t="n">
        <x:v>0.7598</x:v>
      </x:c>
      <x:c r="N52" s="16" t="n">
        <x:v>788626</x:v>
      </x:c>
      <x:c r="O52" s="17" t="n">
        <x:v>113.83810729999097</x:v>
      </x:c>
      <x:c r="P52" t="str">
        <x:v>{"ages_in_evaluations":[19,18,17,16,15,14,13,12,11,10,9,8,7,6,5,4,3,2,1,0],"oldest_to_youngest_evaluation_indices":[2,3,4,5,6,7,8,9,10,11,12,13,14,15,16,17,18,19,20,21]}</x:v>
      </x:c>
      <x:c r="Q52" s="18" t="n">
        <x:v>0.7818431258201599</x:v>
      </x:c>
      <x:c r="R52" t="n">
        <x:v>20</x:v>
      </x:c>
      <x:c r="S52" t="n">
        <x:v>3</x:v>
      </x:c>
      <x:c r="T52" s="19" t="n">
        <x:v>6.3343508216462405e-9</x:v>
      </x:c>
    </x:row>
    <x:row r="53">
      <x:c r="A53" t="str">
        <x:v>SA-RE</x:v>
      </x:c>
      <x:c r="B53" t="n">
        <x:v>2701</x:v>
      </x:c>
      <x:c r="C53" t="n">
        <x:v>20260848</x:v>
      </x:c>
      <x:c r="D53" t="n">
        <x:v>22</x:v>
      </x:c>
      <x:c r="E53" t="n">
        <x:v>30</x:v>
      </x:c>
      <x:c r="F53" t="str">
        <x:v>evolution</x:v>
      </x:c>
      <x:c r="G53" t="str">
        <x:v>{"normal":{"pairs":[{"branch_1":{"input_state":0,"op":"sep_conv_5x5"},"branch_2":{"input_state":0,"op":"dil_sep_conv_3x3"}},{"branch_1":{"input_state":2,"op":"dil_sep_conv_3x3"},"branch_2":{"input_state":1,"op":"sep_conv_3x3"}},{"branch_1":{"input_state":0,"op":"dil_sep_conv_3x3"},"branch_2":{"input_state":3,"op":"max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5x5"},"branch_2":{"input_state":1,"op":"max_pool_3x3"}}]}}</x:v>
      </x:c>
      <x:c r="H53" t="str">
        <x:v>{"normal":{"pairs":[{"branch_1":{"input_state":1,"op":"sep_conv_5x5"},"branch_2":{"input_state":0,"op":"dil_sep_conv_3x3"}},{"branch_1":{"input_state":2,"op":"dil_sep_conv_3x3"},"branch_2":{"input_state":1,"op":"sep_conv_3x3"}},{"branch_1":{"input_state":0,"op":"dil_sep_conv_3x3"},"branch_2":{"input_state":3,"op":"max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5x5"},"branch_2":{"input_state":1,"op":"max_pool_3x3"}}]}}</x:v>
      </x:c>
      <x:c r="I53" t="str">
        <x:v>hidden_state</x:v>
      </x:c>
      <x:c r="J53" s="15" t="n">
        <x:v>0.7836</x:v>
      </x:c>
      <x:c r="K53" s="15" t="n">
        <x:v>0.7836</x:v>
      </x:c>
      <x:c r="L53" s="15" t="n">
        <x:v>0.7836</x:v>
      </x:c>
      <x:c r="M53" s="15" t="n">
        <x:v>0.7836</x:v>
      </x:c>
      <x:c r="N53" s="16" t="n">
        <x:v>781714</x:v>
      </x:c>
      <x:c r="O53" s="17" t="n">
        <x:v>113.18799120001496</x:v>
      </x:c>
      <x:c r="P53" t="str">
        <x:v>{"ages_in_evaluations":[19,18,17,16,15,14,13,12,11,10,9,8,7,6,5,4,3,2,1,0],"oldest_to_youngest_evaluation_indices":[3,4,5,6,7,8,9,10,11,12,13,14,15,16,17,18,19,20,21,22]}</x:v>
      </x:c>
      <x:c r="Q53" s="18" t="n">
        <x:v>0.7641772031784058</x:v>
      </x:c>
      <x:c r="R53" t="n">
        <x:v>21</x:v>
      </x:c>
      <x:c r="S53" t="n">
        <x:v>0</x:v>
      </x:c>
      <x:c r="T53" s="19" t="n">
        <x:v>0.000003605447318477673</x:v>
      </x:c>
    </x:row>
    <x:row r="54">
      <x:c r="A54" t="str">
        <x:v>SA-RE</x:v>
      </x:c>
      <x:c r="B54" t="n">
        <x:v>2701</x:v>
      </x:c>
      <x:c r="C54" t="n">
        <x:v>20260849</x:v>
      </x:c>
      <x:c r="D54" t="n">
        <x:v>23</x:v>
      </x:c>
      <x:c r="E54" t="n">
        <x:v>30</x:v>
      </x:c>
      <x:c r="F54" t="str">
        <x:v>evolution</x:v>
      </x:c>
      <x:c r="G54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H54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I54" t="str">
        <x:v>hidden_state</x:v>
      </x:c>
      <x:c r="J54" s="15" t="n">
        <x:v>0.8234</x:v>
      </x:c>
      <x:c r="K54" s="15" t="n">
        <x:v>0.8234</x:v>
      </x:c>
      <x:c r="L54" s="15" t="n">
        <x:v>0.8234</x:v>
      </x:c>
      <x:c r="M54" s="15" t="n">
        <x:v>0.8234</x:v>
      </x:c>
      <x:c r="N54" s="16" t="n">
        <x:v>945214</x:v>
      </x:c>
      <x:c r="O54" s="17" t="n">
        <x:v>138.14111310002045</x:v>
      </x:c>
      <x:c r="P54" t="str">
        <x:v>{"ages_in_evaluations":[19,18,17,16,15,14,13,12,11,10,9,8,7,6,5,4,3,2,1,0],"oldest_to_youngest_evaluation_indices":[4,5,6,7,8,9,10,11,12,13,14,15,16,17,18,19,20,21,22,23]}</x:v>
      </x:c>
      <x:c r="Q54" s="18" t="n">
        <x:v>0.8381088972091675</x:v>
      </x:c>
      <x:c r="R54" t="n">
        <x:v>22</x:v>
      </x:c>
      <x:c r="S54" t="n">
        <x:v>2</x:v>
      </x:c>
      <x:c r="T54" s="19" t="n">
        <x:v>0.000007618761628691573</x:v>
      </x:c>
    </x:row>
    <x:row r="55">
      <x:c r="A55" t="str">
        <x:v>SA-RE</x:v>
      </x:c>
      <x:c r="B55" t="n">
        <x:v>2701</x:v>
      </x:c>
      <x:c r="C55" t="n">
        <x:v>20260850</x:v>
      </x:c>
      <x:c r="D55" t="n">
        <x:v>24</x:v>
      </x:c>
      <x:c r="E55" t="n">
        <x:v>30</x:v>
      </x:c>
      <x:c r="F55" t="str">
        <x:v>evolution</x:v>
      </x:c>
      <x:c r="G55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conv_1x7_7x1"},"branch_2":{"input_state":0,"op":"sep_conv_7x7"}}]},"reduction":{"pairs":[{"branch_1":{"input_state":1,"op":"sep_conv_5x5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H55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I55" t="str">
        <x:v>operation</x:v>
      </x:c>
      <x:c r="J55" s="15" t="n">
        <x:v>0.814</x:v>
      </x:c>
      <x:c r="K55" s="15" t="n">
        <x:v>0.814</x:v>
      </x:c>
      <x:c r="L55" s="15" t="n">
        <x:v>0.814</x:v>
      </x:c>
      <x:c r="M55" s="15" t="n">
        <x:v>0.814</x:v>
      </x:c>
      <x:c r="N55" s="16" t="n">
        <x:v>872890</x:v>
      </x:c>
      <x:c r="O55" s="17" t="n">
        <x:v>137.7640573999961</x:v>
      </x:c>
      <x:c r="P55" t="str">
        <x:v>{"ages_in_evaluations":[19,18,17,16,15,14,13,12,11,10,9,8,7,6,5,4,3,2,1,0],"oldest_to_youngest_evaluation_indices":[5,6,7,8,9,10,11,12,13,14,15,16,17,18,19,20,21,22,23,24]}</x:v>
      </x:c>
      <x:c r="Q55" s="18" t="n">
        <x:v>0.8423382043838501</x:v>
      </x:c>
      <x:c r="R55" t="n">
        <x:v>23</x:v>
      </x:c>
      <x:c r="S55" t="n">
        <x:v>3</x:v>
      </x:c>
      <x:c r="T55" s="19" t="n">
        <x:v>0.000011208487194380725</x:v>
      </x:c>
    </x:row>
    <x:row r="56">
      <x:c r="A56" t="str">
        <x:v>SA-RE</x:v>
      </x:c>
      <x:c r="B56" t="n">
        <x:v>2701</x:v>
      </x:c>
      <x:c r="C56" t="n">
        <x:v>20260851</x:v>
      </x:c>
      <x:c r="D56" t="n">
        <x:v>25</x:v>
      </x:c>
      <x:c r="E56" t="n">
        <x:v>30</x:v>
      </x:c>
      <x:c r="F56" t="str">
        <x:v>evolution</x:v>
      </x:c>
      <x:c r="G56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conv_1x7_7x1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  <x:c r="H56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  <x:c r="I56" t="str">
        <x:v>operation</x:v>
      </x:c>
      <x:c r="J56" s="15" t="n">
        <x:v>0.7958</x:v>
      </x:c>
      <x:c r="K56" s="15" t="n">
        <x:v>0.7958</x:v>
      </x:c>
      <x:c r="L56" s="15" t="n">
        <x:v>0.7958</x:v>
      </x:c>
      <x:c r="M56" s="15" t="n">
        <x:v>0.7958</x:v>
      </x:c>
      <x:c r="N56" s="16" t="n">
        <x:v>658270</x:v>
      </x:c>
      <x:c r="O56" s="17" t="n">
        <x:v>109.77858600000036</x:v>
      </x:c>
      <x:c r="P56" t="str">
        <x:v>{"ages_in_evaluations":[19,18,17,16,15,14,13,12,11,10,9,8,7,6,5,4,3,2,1,0],"oldest_to_youngest_evaluation_indices":[6,7,8,9,10,11,12,13,14,15,16,17,18,19,20,21,22,23,24,25]}</x:v>
      </x:c>
      <x:c r="Q56" s="18" t="n">
        <x:v>0.8382608890533447</x:v>
      </x:c>
      <x:c r="R56" t="n">
        <x:v>24</x:v>
      </x:c>
      <x:c r="S56" t="n">
        <x:v>1</x:v>
      </x:c>
      <x:c r="T56" s="19" t="n">
        <x:v>0.00001863009674707428</x:v>
      </x:c>
    </x:row>
    <x:row r="57">
      <x:c r="A57" t="str">
        <x:v>SA-RE</x:v>
      </x:c>
      <x:c r="B57" t="n">
        <x:v>2701</x:v>
      </x:c>
      <x:c r="C57" t="n">
        <x:v>20260852</x:v>
      </x:c>
      <x:c r="D57" t="n">
        <x:v>26</x:v>
      </x:c>
      <x:c r="E57" t="n">
        <x:v>30</x:v>
      </x:c>
      <x:c r="F57" t="str">
        <x:v>evolution</x:v>
      </x:c>
      <x:c r="G57" t="str">
        <x:v>{"normal":{"pairs":[{"branch_1":{"input_state":0,"op":"max_pool_3x3"},"branch_2":{"input_state":0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H57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I57" t="str">
        <x:v>hidden_state</x:v>
      </x:c>
      <x:c r="J57" s="15" t="n">
        <x:v>0.8202</x:v>
      </x:c>
      <x:c r="K57" s="15" t="n">
        <x:v>0.8202</x:v>
      </x:c>
      <x:c r="L57" s="15" t="n">
        <x:v>0.8202</x:v>
      </x:c>
      <x:c r="M57" s="15" t="n">
        <x:v>0.8202</x:v>
      </x:c>
      <x:c r="N57" s="16" t="n">
        <x:v>945214</x:v>
      </x:c>
      <x:c r="O57" s="17" t="n">
        <x:v>139.49781159998383</x:v>
      </x:c>
      <x:c r="P57" t="str">
        <x:v>{"ages_in_evaluations":[19,18,17,16,15,14,13,12,11,10,9,8,7,6,5,4,3,2,1,0],"oldest_to_youngest_evaluation_indices":[7,8,9,10,11,12,13,14,15,16,17,18,19,20,21,22,23,24,25,26]}</x:v>
      </x:c>
      <x:c r="Q57" s="18" t="n">
        <x:v>0.8397152423858643</x:v>
      </x:c>
      <x:c r="R57" t="n">
        <x:v>25</x:v>
      </x:c>
      <x:c r="S57" t="n">
        <x:v>0</x:v>
      </x:c>
      <x:c r="T57" s="19" t="n">
        <x:v>0.00003130043842247687</x:v>
      </x:c>
    </x:row>
    <x:row r="58">
      <x:c r="A58" t="str">
        <x:v>SA-RE</x:v>
      </x:c>
      <x:c r="B58" t="n">
        <x:v>2701</x:v>
      </x:c>
      <x:c r="C58" t="n">
        <x:v>20260853</x:v>
      </x:c>
      <x:c r="D58" t="n">
        <x:v>27</x:v>
      </x:c>
      <x:c r="E58" t="n">
        <x:v>30</x:v>
      </x:c>
      <x:c r="F58" t="str">
        <x:v>evolution</x:v>
      </x:c>
      <x:c r="G58" t="str">
        <x:v>{"normal":{"pairs":[{"branch_1":{"input_state":0,"op":"conv_1x7_7x1"},"branch_2":{"input_state":0,"op":"avg_pool_3x3"}},{"branch_1":{"input_state":0,"op":"identity"},"branch_2":{"input_state":2,"op":"avg_pool_3x3"}},{"branch_1":{"input_state":2,"op":"sep_conv_5x5"},"branch_2":{"input_state":0,"op":"max_pool_3x3"}},{"branch_1":{"input_state":0,"op":"max_pool_3x3"},"branch_2":{"input_state":4,"op":"dil_sep_conv_3x3"}},{"branch_1":{"input_state":1,"op":"avg_pool_3x3"},"branch_2":{"input_state":0,"op":"sep_conv_3x3"}}]},"reduction":{"pairs":[{"branch_1":{"input_state":1,"op":"max_pool_3x3"},"branch_2":{"input_state":1,"op":"dil_sep_conv_3x3"}},{"branch_1":{"input_state":1,"op":"sep_conv_5x5"},"branch_2":{"input_state":1,"op":"avg_pool_3x3"}},{"branch_1":{"input_state":3,"op":"identity"},"branch_2":{"input_state":2,"op":"sep_conv_7x7"}},{"branch_1":{"input_state":1,"op":"max_pool_3x3"},"branch_2":{"input_state":0,"op":"sep_conv_5x5"}},{"branch_1":{"input_state":0,"op":"sep_conv_7x7"},"branch_2":{"input_state":5,"op":"max_pool_3x3"}}]}}</x:v>
      </x:c>
      <x:c r="H58" t="str">
        <x:v>{"normal":{"pairs":[{"branch_1":{"input_state":0,"op":"conv_1x7_7x1"},"branch_2":{"input_state":0,"op":"avg_pool_3x3"}},{"branch_1":{"input_state":0,"op":"identity"},"branch_2":{"input_state":2,"op":"avg_pool_3x3"}},{"branch_1":{"input_state":2,"op":"sep_conv_5x5"},"branch_2":{"input_state":0,"op":"max_pool_3x3"}},{"branch_1":{"input_state":0,"op":"max_pool_3x3"},"branch_2":{"input_state":4,"op":"dil_sep_conv_3x3"}},{"branch_1":{"input_state":1,"op":"avg_pool_3x3"},"branch_2":{"input_state":0,"op":"sep_conv_3x3"}}]},"reduction":{"pairs":[{"branch_1":{"input_state":1,"op":"max_pool_3x3"},"branch_2":{"input_state":1,"op":"dil_sep_conv_3x3"}},{"branch_1":{"input_state":1,"op":"sep_conv_5x5"},"branch_2":{"input_state":1,"op":"avg_pool_3x3"}},{"branch_1":{"input_state":3,"op":"identity"},"branch_2":{"input_state":2,"op":"sep_conv_7x7"}},{"branch_1":{"input_state":1,"op":"max_pool_3x3"},"branch_2":{"input_state":2,"op":"sep_conv_5x5"}},{"branch_1":{"input_state":0,"op":"sep_conv_7x7"},"branch_2":{"input_state":5,"op":"max_pool_3x3"}}]}}</x:v>
      </x:c>
      <x:c r="I58" t="str">
        <x:v>hidden_state</x:v>
      </x:c>
      <x:c r="J58" s="15" t="n">
        <x:v>0.8192</x:v>
      </x:c>
      <x:c r="K58" s="15" t="n">
        <x:v>0.8192</x:v>
      </x:c>
      <x:c r="L58" s="15" t="n">
        <x:v>0.8192</x:v>
      </x:c>
      <x:c r="M58" s="15" t="n">
        <x:v>0.8192</x:v>
      </x:c>
      <x:c r="N58" s="16" t="n">
        <x:v>701614</x:v>
      </x:c>
      <x:c r="O58" s="17" t="n">
        <x:v>115.58314150001388</x:v>
      </x:c>
      <x:c r="P58" t="str">
        <x:v>{"ages_in_evaluations":[19,18,17,16,15,14,13,12,11,10,9,8,7,6,5,4,3,2,1,0],"oldest_to_youngest_evaluation_indices":[8,9,10,11,12,13,14,15,16,17,18,19,20,21,22,23,24,25,26,27]}</x:v>
      </x:c>
      <x:c r="Q58" s="18" t="n">
        <x:v>0.8258655667304993</x:v>
      </x:c>
      <x:c r="R58" t="n">
        <x:v>26</x:v>
      </x:c>
      <x:c r="S58" t="n">
        <x:v>4</x:v>
      </x:c>
      <x:c r="T58" s="19" t="n">
        <x:v>0.0000396069444832392</x:v>
      </x:c>
    </x:row>
    <x:row r="59">
      <x:c r="A59" t="str">
        <x:v>SA-RE</x:v>
      </x:c>
      <x:c r="B59" t="n">
        <x:v>2701</x:v>
      </x:c>
      <x:c r="C59" t="n">
        <x:v>20260854</x:v>
      </x:c>
      <x:c r="D59" t="n">
        <x:v>28</x:v>
      </x:c>
      <x:c r="E59" t="n">
        <x:v>30</x:v>
      </x:c>
      <x:c r="F59" t="str">
        <x:v>evolution</x:v>
      </x:c>
      <x:c r="G59" t="str">
        <x:v>{"normal":{"pairs":[{"branch_1":{"input_state":0,"op":"sep_conv_3x3"},"branch_2":{"input_state":0,"op":"avg_pool_3x3"}},{"branch_1":{"input_state":1,"op":"sep_conv_3x3"},"branch_2":{"input_state":1,"op":"avg_pool_3x3"}},{"branch_1":{"input_state":1,"op":"identity"},"branch_2":{"input_state":1,"op":"avg_pool_3x3"}},{"branch_1":{"input_state":1,"op":"sep_conv_3x3"},"branch_2":{"input_state":3,"op":"dil_sep_conv_3x3"}},{"branch_1":{"input_state":1,"op":"max_pool_3x3"},"branch_2":{"input_state":3,"op":"identity"}}]},"reduction":{"pairs":[{"branch_1":{"input_state":1,"op":"avg_pool_3x3"},"branch_2":{"input_state":1,"op":"avg_pool_3x3"}},{"branch_1":{"input_state":0,"op":"identity"},"branch_2":{"input_state":0,"op":"avg_pool_3x3"}},{"branch_1":{"input_state":2,"op":"conv_1x7_7x1"},"branch_2":{"input_state":3,"op":"sep_conv_3x3"}},{"branch_1":{"input_state":2,"op":"sep_conv_5x5"},"branch_2":{"input_state":2,"op":"conv_1x7_7x1"}},{"branch_1":{"input_state":3,"op":"sep_conv_3x3"},"branch_2":{"input_state":3,"op":"dil_sep_conv_3x3"}}]}}</x:v>
      </x:c>
      <x:c r="H59" t="str">
        <x:v>{"normal":{"pairs":[{"branch_1":{"input_state":0,"op":"sep_conv_5x5"},"branch_2":{"input_state":0,"op":"avg_pool_3x3"}},{"branch_1":{"input_state":1,"op":"sep_conv_3x3"},"branch_2":{"input_state":1,"op":"avg_pool_3x3"}},{"branch_1":{"input_state":1,"op":"identity"},"branch_2":{"input_state":1,"op":"avg_pool_3x3"}},{"branch_1":{"input_state":1,"op":"sep_conv_3x3"},"branch_2":{"input_state":3,"op":"dil_sep_conv_3x3"}},{"branch_1":{"input_state":1,"op":"max_pool_3x3"},"branch_2":{"input_state":3,"op":"identity"}}]},"reduction":{"pairs":[{"branch_1":{"input_state":1,"op":"avg_pool_3x3"},"branch_2":{"input_state":1,"op":"avg_pool_3x3"}},{"branch_1":{"input_state":0,"op":"identity"},"branch_2":{"input_state":0,"op":"avg_pool_3x3"}},{"branch_1":{"input_state":2,"op":"conv_1x7_7x1"},"branch_2":{"input_state":3,"op":"sep_conv_3x3"}},{"branch_1":{"input_state":2,"op":"sep_conv_5x5"},"branch_2":{"input_state":2,"op":"conv_1x7_7x1"}},{"branch_1":{"input_state":3,"op":"sep_conv_3x3"},"branch_2":{"input_state":3,"op":"dil_sep_conv_3x3"}}]}}</x:v>
      </x:c>
      <x:c r="I59" t="str">
        <x:v>operation</x:v>
      </x:c>
      <x:c r="J59" s="15" t="n">
        <x:v>0.822</x:v>
      </x:c>
      <x:c r="K59" s="15" t="n">
        <x:v>0.822</x:v>
      </x:c>
      <x:c r="L59" s="15" t="n">
        <x:v>0.822</x:v>
      </x:c>
      <x:c r="M59" s="15" t="n">
        <x:v>0.822</x:v>
      </x:c>
      <x:c r="N59" s="16" t="n">
        <x:v>785698</x:v>
      </x:c>
      <x:c r="O59" s="17" t="n">
        <x:v>108.97453250002582</x:v>
      </x:c>
      <x:c r="P59" t="str">
        <x:v>{"ages_in_evaluations":[19,18,17,16,15,14,13,12,11,10,9,8,7,6,5,4,3,2,1,0],"oldest_to_youngest_evaluation_indices":[9,10,11,12,13,14,15,16,17,18,19,20,21,22,23,24,25,26,27,28]}</x:v>
      </x:c>
      <x:c r="Q59" s="18" t="n">
        <x:v>0.8335389494895935</x:v>
      </x:c>
      <x:c r="R59" t="n">
        <x:v>27</x:v>
      </x:c>
      <x:c r="S59" t="n">
        <x:v>4</x:v>
      </x:c>
      <x:c r="T59" s="19" t="n">
        <x:v>0.00003928333171643317</x:v>
      </x:c>
    </x:row>
    <x:row r="60">
      <x:c r="A60" t="str">
        <x:v>SA-RE</x:v>
      </x:c>
      <x:c r="B60" t="n">
        <x:v>2701</x:v>
      </x:c>
      <x:c r="C60" t="n">
        <x:v>20260855</x:v>
      </x:c>
      <x:c r="D60" t="n">
        <x:v>29</x:v>
      </x:c>
      <x:c r="E60" t="n">
        <x:v>30</x:v>
      </x:c>
      <x:c r="F60" t="str">
        <x:v>evolution</x:v>
      </x:c>
      <x:c r="G60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2,"op":"dil_sep_conv_3x3"},"branch_2":{"input_state":5,"op":"identity"}}]}}</x:v>
      </x:c>
      <x:c r="H60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I60" t="str">
        <x:v>hidden_state</x:v>
      </x:c>
      <x:c r="J60" s="15" t="n">
        <x:v>0.8202</x:v>
      </x:c>
      <x:c r="K60" s="15" t="n">
        <x:v>0.8202</x:v>
      </x:c>
      <x:c r="L60" s="15" t="n">
        <x:v>0.8202</x:v>
      </x:c>
      <x:c r="M60" s="15" t="n">
        <x:v>0.8202</x:v>
      </x:c>
      <x:c r="N60" s="16" t="n">
        <x:v>968254</x:v>
      </x:c>
      <x:c r="O60" s="17" t="n">
        <x:v>139.01524219999555</x:v>
      </x:c>
      <x:c r="P60" t="str">
        <x:v>{"ages_in_evaluations":[19,18,17,16,15,14,13,12,11,10,9,8,7,6,5,4,3,2,1,0],"oldest_to_youngest_evaluation_indices":[10,11,12,13,14,15,16,17,18,19,20,21,22,23,24,25,26,27,28,29]}</x:v>
      </x:c>
      <x:c r="Q60" s="18" t="n">
        <x:v>0.8243990540504456</x:v>
      </x:c>
      <x:c r="R60" t="n">
        <x:v>28</x:v>
      </x:c>
      <x:c r="S60" t="n">
        <x:v>4</x:v>
      </x:c>
      <x:c r="T60" s="19" t="n">
        <x:v>0.00003972751437686384</x:v>
      </x:c>
    </x:row>
    <x:row r="61">
      <x:c r="A61" t="str">
        <x:v>SA-RE</x:v>
      </x:c>
      <x:c r="B61" t="n">
        <x:v>2701</x:v>
      </x:c>
      <x:c r="C61" t="n">
        <x:v>20260856</x:v>
      </x:c>
      <x:c r="D61" t="n">
        <x:v>30</x:v>
      </x:c>
      <x:c r="E61" t="n">
        <x:v>30</x:v>
      </x:c>
      <x:c r="F61" t="str">
        <x:v>evolution</x:v>
      </x:c>
      <x:c r="G61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1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  <x:c r="H61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  <x:c r="I61" t="str">
        <x:v>hidden_state</x:v>
      </x:c>
      <x:c r="J61" s="15" t="n">
        <x:v>0.8196</x:v>
      </x:c>
      <x:c r="K61" s="15" t="n">
        <x:v>0.8196</x:v>
      </x:c>
      <x:c r="L61" s="15" t="n">
        <x:v>0.8196</x:v>
      </x:c>
      <x:c r="M61" s="15" t="n">
        <x:v>0.8196</x:v>
      </x:c>
      <x:c r="N61" s="16" t="n">
        <x:v>690274</x:v>
      </x:c>
      <x:c r="O61" s="17" t="n">
        <x:v>104.68186580002656</x:v>
      </x:c>
      <x:c r="P61" t="str">
        <x:v>{"ages_in_evaluations":[19,18,17,16,15,14,13,12,11,10,9,8,7,6,5,4,3,2,1,0],"oldest_to_youngest_evaluation_indices":[11,12,13,14,15,16,17,18,19,20,21,22,23,24,25,26,27,28,29,30]}</x:v>
      </x:c>
      <x:c r="Q61" s="18" t="n">
        <x:v>0.8130098581314087</x:v>
      </x:c>
      <x:c r="R61" t="n">
        <x:v>29</x:v>
      </x:c>
      <x:c r="S61" t="n">
        <x:v>2</x:v>
      </x:c>
      <x:c r="T61" s="19" t="n">
        <x:v>0.00003913062755600549</x:v>
      </x:c>
    </x:row>
    <x:row r="62">
      <x:c r="A62" t="str">
        <x:v>RE</x:v>
      </x:c>
      <x:c r="B62" t="n">
        <x:v>2702</x:v>
      </x:c>
      <x:c r="C62" t="n">
        <x:v>20260827</x:v>
      </x:c>
      <x:c r="D62" t="n">
        <x:v>1</x:v>
      </x:c>
      <x:c r="E62" t="n">
        <x:v>30</x:v>
      </x:c>
      <x:c r="F62" t="str">
        <x:v>initialization</x:v>
      </x:c>
      <x:c r="G62" t="str">
        <x:v>{"normal":{"pairs":[{"branch_1":{"input_state":0,"op":"dil_sep_conv_3x3"},"branch_2":{"input_state":1,"op":"max_pool_3x3"}},{"branch_1":{"input_state":1,"op":"sep_conv_3x3"},"branch_2":{"input_state":1,"op":"sep_conv_3x3"}},{"branch_1":{"input_state":3,"op":"avg_pool_3x3"},"branch_2":{"input_state":3,"op":"sep_conv_3x3"}},{"branch_1":{"input_state":3,"op":"sep_conv_3x3"},"branch_2":{"input_state":1,"op":"sep_conv_7x7"}},{"branch_1":{"input_state":3,"op":"sep_conv_3x3"},"branch_2":{"input_state":3,"op":"sep_conv_5x5"}}]},"reduction":{"pairs":[{"branch_1":{"input_state":0,"op":"sep_conv_7x7"},"branch_2":{"input_state":1,"op":"conv_1x7_7x1"}},{"branch_1":{"input_state":2,"op":"sep_conv_5x5"},"branch_2":{"input_state":1,"op":"sep_conv_5x5"}},{"branch_1":{"input_state":1,"op":"sep_conv_5x5"},"branch_2":{"input_state":1,"op":"avg_pool_3x3"}},{"branch_1":{"input_state":0,"op":"avg_pool_3x3"},"branch_2":{"input_state":1,"op":"max_pool_3x3"}},{"branch_1":{"input_state":5,"op":"conv_1x7_7x1"},"branch_2":{"input_state":5,"op":"identity"}}]}}</x:v>
      </x:c>
      <x:c r="H62" t="str"/>
      <x:c r="I62" t="str">
        <x:v>random_initialization</x:v>
      </x:c>
      <x:c r="J62" s="15" t="n">
        <x:v>0.7518</x:v>
      </x:c>
      <x:c r="K62" s="15" t="n">
        <x:v>0.7518</x:v>
      </x:c>
      <x:c r="L62" s="15"/>
      <x:c r="M62" s="15" t="n">
        <x:v>0.7518</x:v>
      </x:c>
      <x:c r="N62" s="16" t="n">
        <x:v>1185730</x:v>
      </x:c>
      <x:c r="O62" s="17" t="n">
        <x:v>151.98750879999716</x:v>
      </x:c>
      <x:c r="P62" t="str">
        <x:v>{"ages_in_evaluations":[0],"oldest_to_youngest_evaluation_indices":[1]}</x:v>
      </x:c>
      <x:c r="Q62" s="18"/>
      <x:c r="R62"/>
      <x:c r="S62"/>
      <x:c r="T62" s="19"/>
    </x:row>
    <x:row r="63">
      <x:c r="A63" t="str">
        <x:v>RE</x:v>
      </x:c>
      <x:c r="B63" t="n">
        <x:v>2702</x:v>
      </x:c>
      <x:c r="C63" t="n">
        <x:v>20260828</x:v>
      </x:c>
      <x:c r="D63" t="n">
        <x:v>2</x:v>
      </x:c>
      <x:c r="E63" t="n">
        <x:v>30</x:v>
      </x:c>
      <x:c r="F63" t="str">
        <x:v>initialization</x:v>
      </x:c>
      <x:c r="G63" t="str">
        <x:v>{"normal":{"pairs":[{"branch_1":{"input_state":0,"op":"identity"},"branch_2":{"input_state":1,"op":"sep_conv_3x3"}},{"branch_1":{"input_state":0,"op":"identity"},"branch_2":{"input_state":2,"op":"sep_conv_7x7"}},{"branch_1":{"input_state":2,"op":"avg_pool_3x3"},"branch_2":{"input_state":2,"op":"max_pool_3x3"}},{"branch_1":{"input_state":1,"op":"sep_conv_5x5"},"branch_2":{"input_state":3,"op":"dil_sep_conv_3x3"}},{"branch_1":{"input_state":1,"op":"sep_conv_3x3"},"branch_2":{"input_state":5,"op":"sep_conv_5x5"}}]},"reduction":{"pairs":[{"branch_1":{"input_state":1,"op":"avg_pool_3x3"},"branch_2":{"input_state":1,"op":"sep_conv_7x7"}},{"branch_1":{"input_state":2,"op":"sep_conv_3x3"},"branch_2":{"input_state":1,"op":"sep_conv_5x5"}},{"branch_1":{"input_state":1,"op":"sep_conv_5x5"},"branch_2":{"input_state":2,"op":"max_pool_3x3"}},{"branch_1":{"input_state":3,"op":"sep_conv_7x7"},"branch_2":{"input_state":0,"op":"sep_conv_7x7"}},{"branch_1":{"input_state":1,"op":"sep_conv_5x5"},"branch_2":{"input_state":5,"op":"conv_1x7_7x1"}}]}}</x:v>
      </x:c>
      <x:c r="H63" t="str"/>
      <x:c r="I63" t="str">
        <x:v>random_initialization</x:v>
      </x:c>
      <x:c r="J63" s="15" t="n">
        <x:v>0.8044</x:v>
      </x:c>
      <x:c r="K63" s="15" t="n">
        <x:v>0.8044</x:v>
      </x:c>
      <x:c r="L63" s="15"/>
      <x:c r="M63" s="15" t="n">
        <x:v>0.8044</x:v>
      </x:c>
      <x:c r="N63" s="16" t="n">
        <x:v>975946</x:v>
      </x:c>
      <x:c r="O63" s="17" t="n">
        <x:v>132.89455749999615</x:v>
      </x:c>
      <x:c r="P63" t="str">
        <x:v>{"ages_in_evaluations":[1,0],"oldest_to_youngest_evaluation_indices":[1,2]}</x:v>
      </x:c>
      <x:c r="Q63" s="18"/>
      <x:c r="R63"/>
      <x:c r="S63"/>
      <x:c r="T63" s="19"/>
    </x:row>
    <x:row r="64">
      <x:c r="A64" t="str">
        <x:v>RE</x:v>
      </x:c>
      <x:c r="B64" t="n">
        <x:v>2702</x:v>
      </x:c>
      <x:c r="C64" t="n">
        <x:v>20260829</x:v>
      </x:c>
      <x:c r="D64" t="n">
        <x:v>3</x:v>
      </x:c>
      <x:c r="E64" t="n">
        <x:v>30</x:v>
      </x:c>
      <x:c r="F64" t="str">
        <x:v>initialization</x:v>
      </x:c>
      <x:c r="G64" t="str">
        <x:v>{"normal":{"pairs":[{"branch_1":{"input_state":1,"op":"sep_conv_3x3"},"branch_2":{"input_state":1,"op":"dil_sep_conv_3x3"}},{"branch_1":{"input_state":0,"op":"identity"},"branch_2":{"input_state":1,"op":"sep_conv_7x7"}},{"branch_1":{"input_state":3,"op":"max_pool_3x3"},"branch_2":{"input_state":1,"op":"dil_sep_conv_3x3"}},{"branch_1":{"input_state":0,"op":"sep_conv_7x7"},"branch_2":{"input_state":0,"op":"dil_sep_conv_3x3"}},{"branch_1":{"input_state":4,"op":"dil_sep_conv_3x3"},"branch_2":{"input_state":2,"op":"max_pool_3x3"}}]},"reduction":{"pairs":[{"branch_1":{"input_state":0,"op":"sep_conv_7x7"},"branch_2":{"input_state":1,"op":"avg_pool_3x3"}},{"branch_1":{"input_state":0,"op":"max_pool_3x3"},"branch_2":{"input_state":2,"op":"identity"}},{"branch_1":{"input_state":0,"op":"identity"},"branch_2":{"input_state":0,"op":"identity"}},{"branch_1":{"input_state":0,"op":"dil_sep_conv_3x3"},"branch_2":{"input_state":1,"op":"conv_1x7_7x1"}},{"branch_1":{"input_state":4,"op":"conv_1x7_7x1"},"branch_2":{"input_state":2,"op":"sep_conv_5x5"}}]}}</x:v>
      </x:c>
      <x:c r="H64" t="str"/>
      <x:c r="I64" t="str">
        <x:v>random_initialization</x:v>
      </x:c>
      <x:c r="J64" s="15" t="n">
        <x:v>0.7646</x:v>
      </x:c>
      <x:c r="K64" s="15" t="n">
        <x:v>0.7646</x:v>
      </x:c>
      <x:c r="L64" s="15"/>
      <x:c r="M64" s="15" t="n">
        <x:v>0.7646</x:v>
      </x:c>
      <x:c r="N64" s="16" t="n">
        <x:v>993586</x:v>
      </x:c>
      <x:c r="O64" s="17" t="n">
        <x:v>143.63401569999405</x:v>
      </x:c>
      <x:c r="P64" t="str">
        <x:v>{"ages_in_evaluations":[2,1,0],"oldest_to_youngest_evaluation_indices":[1,2,3]}</x:v>
      </x:c>
      <x:c r="Q64" s="18"/>
      <x:c r="R64"/>
      <x:c r="S64"/>
      <x:c r="T64" s="19"/>
    </x:row>
    <x:row r="65">
      <x:c r="A65" t="str">
        <x:v>RE</x:v>
      </x:c>
      <x:c r="B65" t="n">
        <x:v>2702</x:v>
      </x:c>
      <x:c r="C65" t="n">
        <x:v>20260830</x:v>
      </x:c>
      <x:c r="D65" t="n">
        <x:v>4</x:v>
      </x:c>
      <x:c r="E65" t="n">
        <x:v>30</x:v>
      </x:c>
      <x:c r="F65" t="str">
        <x:v>initialization</x:v>
      </x:c>
      <x:c r="G65" t="str">
        <x:v>{"normal":{"pairs":[{"branch_1":{"input_state":1,"op":"conv_1x7_7x1"},"branch_2":{"input_state":1,"op":"conv_1x7_7x1"}},{"branch_1":{"input_state":1,"op":"avg_pool_3x3"},"branch_2":{"input_state":0,"op":"max_pool_3x3"}},{"branch_1":{"input_state":3,"op":"identity"},"branch_2":{"input_state":0,"op":"max_pool_3x3"}},{"branch_1":{"input_state":3,"op":"sep_conv_7x7"},"branch_2":{"input_state":4,"op":"max_pool_3x3"}},{"branch_1":{"input_state":3,"op":"avg_pool_3x3"},"branch_2":{"input_state":3,"op":"conv_1x7_7x1"}}]},"reduction":{"pairs":[{"branch_1":{"input_state":0,"op":"dil_sep_conv_3x3"},"branch_2":{"input_state":1,"op":"sep_conv_5x5"}},{"branch_1":{"input_state":0,"op":"max_pool_3x3"},"branch_2":{"input_state":2,"op":"identity"}},{"branch_1":{"input_state":2,"op":"sep_conv_3x3"},"branch_2":{"input_state":2,"op":"sep_conv_7x7"}},{"branch_1":{"input_state":4,"op":"conv_1x7_7x1"},"branch_2":{"input_state":4,"op":"sep_conv_3x3"}},{"branch_1":{"input_state":1,"op":"conv_1x7_7x1"},"branch_2":{"input_state":4,"op":"sep_conv_5x5"}}]}}</x:v>
      </x:c>
      <x:c r="H65" t="str"/>
      <x:c r="I65" t="str">
        <x:v>random_initialization</x:v>
      </x:c>
      <x:c r="J65" s="15" t="n">
        <x:v>0.8092</x:v>
      </x:c>
      <x:c r="K65" s="15" t="n">
        <x:v>0.8092</x:v>
      </x:c>
      <x:c r="L65" s="15"/>
      <x:c r="M65" s="15" t="n">
        <x:v>0.8092</x:v>
      </x:c>
      <x:c r="N65" s="16" t="n">
        <x:v>732214</x:v>
      </x:c>
      <x:c r="O65" s="17" t="n">
        <x:v>134.78566730002058</x:v>
      </x:c>
      <x:c r="P65" t="str">
        <x:v>{"ages_in_evaluations":[3,2,1,0],"oldest_to_youngest_evaluation_indices":[1,2,3,4]}</x:v>
      </x:c>
      <x:c r="Q65" s="18"/>
      <x:c r="R65"/>
      <x:c r="S65"/>
      <x:c r="T65" s="19"/>
    </x:row>
    <x:row r="66">
      <x:c r="A66" t="str">
        <x:v>RE</x:v>
      </x:c>
      <x:c r="B66" t="n">
        <x:v>2702</x:v>
      </x:c>
      <x:c r="C66" t="n">
        <x:v>20260831</x:v>
      </x:c>
      <x:c r="D66" t="n">
        <x:v>5</x:v>
      </x:c>
      <x:c r="E66" t="n">
        <x:v>30</x:v>
      </x:c>
      <x:c r="F66" t="str">
        <x:v>initialization</x:v>
      </x:c>
      <x:c r="G66" t="str">
        <x:v>{"normal":{"pairs":[{"branch_1":{"input_state":1,"op":"sep_conv_5x5"},"branch_2":{"input_state":0,"op":"avg_pool_3x3"}},{"branch_1":{"input_state":2,"op":"dil_sep_conv_3x3"},"branch_2":{"input_state":1,"op":"sep_conv_7x7"}},{"branch_1":{"input_state":1,"op":"sep_conv_7x7"},"branch_2":{"input_state":2,"op":"max_pool_3x3"}},{"branch_1":{"input_state":2,"op":"sep_conv_3x3"},"branch_2":{"input_state":1,"op":"sep_conv_7x7"}},{"branch_1":{"input_state":2,"op":"sep_conv_3x3"},"branch_2":{"input_state":5,"op":"sep_conv_7x7"}}]},"reduction":{"pairs":[{"branch_1":{"input_state":0,"op":"conv_1x7_7x1"},"branch_2":{"input_state":1,"op":"max_pool_3x3"}},{"branch_1":{"input_state":1,"op":"sep_conv_5x5"},"branch_2":{"input_state":1,"op":"dil_sep_conv_3x3"}},{"branch_1":{"input_state":1,"op":"sep_conv_5x5"},"branch_2":{"input_state":1,"op":"dil_sep_conv_3x3"}},{"branch_1":{"input_state":1,"op":"dil_sep_conv_3x3"},"branch_2":{"input_state":1,"op":"dil_sep_conv_3x3"}},{"branch_1":{"input_state":0,"op":"max_pool_3x3"},"branch_2":{"input_state":0,"op":"identity"}}]}}</x:v>
      </x:c>
      <x:c r="H66" t="str"/>
      <x:c r="I66" t="str">
        <x:v>random_initialization</x:v>
      </x:c>
      <x:c r="J66" s="15" t="n">
        <x:v>0.757</x:v>
      </x:c>
      <x:c r="K66" s="15" t="n">
        <x:v>0.757</x:v>
      </x:c>
      <x:c r="L66" s="15"/>
      <x:c r="M66" s="15" t="n">
        <x:v>0.757</x:v>
      </x:c>
      <x:c r="N66" s="16" t="n">
        <x:v>1329994</x:v>
      </x:c>
      <x:c r="O66" s="17" t="n">
        <x:v>172.4152578000212</x:v>
      </x:c>
      <x:c r="P66" t="str">
        <x:v>{"ages_in_evaluations":[4,3,2,1,0],"oldest_to_youngest_evaluation_indices":[1,2,3,4,5]}</x:v>
      </x:c>
      <x:c r="Q66" s="18"/>
      <x:c r="R66"/>
      <x:c r="S66"/>
      <x:c r="T66" s="19"/>
    </x:row>
    <x:row r="67">
      <x:c r="A67" t="str">
        <x:v>RE</x:v>
      </x:c>
      <x:c r="B67" t="n">
        <x:v>2702</x:v>
      </x:c>
      <x:c r="C67" t="n">
        <x:v>20260832</x:v>
      </x:c>
      <x:c r="D67" t="n">
        <x:v>6</x:v>
      </x:c>
      <x:c r="E67" t="n">
        <x:v>30</x:v>
      </x:c>
      <x:c r="F67" t="str">
        <x:v>initialization</x:v>
      </x:c>
      <x:c r="G67" t="str">
        <x:v>{"normal":{"pairs":[{"branch_1":{"input_state":1,"op":"sep_conv_7x7"},"branch_2":{"input_state":0,"op":"conv_1x7_7x1"}},{"branch_1":{"input_state":2,"op":"dil_sep_conv_3x3"},"branch_2":{"input_state":0,"op":"identity"}},{"branch_1":{"input_state":3,"op":"conv_1x7_7x1"},"branch_2":{"input_state":0,"op":"dil_sep_conv_3x3"}},{"branch_1":{"input_state":0,"op":"avg_pool_3x3"},"branch_2":{"input_state":3,"op":"conv_1x7_7x1"}},{"branch_1":{"input_state":0,"op":"sep_conv_5x5"},"branch_2":{"input_state":5,"op":"conv_1x7_7x1"}}]},"reduction":{"pairs":[{"branch_1":{"input_state":0,"op":"sep_conv_7x7"},"branch_2":{"input_state":1,"op":"sep_conv_5x5"}},{"branch_1":{"input_state":2,"op":"identity"},"branch_2":{"input_state":0,"op":"dil_sep_conv_3x3"}},{"branch_1":{"input_state":0,"op":"sep_conv_3x3"},"branch_2":{"input_state":2,"op":"identity"}},{"branch_1":{"input_state":2,"op":"conv_1x7_7x1"},"branch_2":{"input_state":4,"op":"dil_sep_conv_3x3"}},{"branch_1":{"input_state":4,"op":"avg_pool_3x3"},"branch_2":{"input_state":2,"op":"identity"}}]}}</x:v>
      </x:c>
      <x:c r="H67" t="str"/>
      <x:c r="I67" t="str">
        <x:v>random_initialization</x:v>
      </x:c>
      <x:c r="J67" s="15" t="n">
        <x:v>0.6414</x:v>
      </x:c>
      <x:c r="K67" s="15" t="n">
        <x:v>0.6414</x:v>
      </x:c>
      <x:c r="L67" s="15"/>
      <x:c r="M67" s="15" t="n">
        <x:v>0.6414</x:v>
      </x:c>
      <x:c r="N67" s="16" t="n">
        <x:v>937498</x:v>
      </x:c>
      <x:c r="O67" s="17" t="n">
        <x:v>169.81152960000327</x:v>
      </x:c>
      <x:c r="P67" t="str">
        <x:v>{"ages_in_evaluations":[5,4,3,2,1,0],"oldest_to_youngest_evaluation_indices":[1,2,3,4,5,6]}</x:v>
      </x:c>
      <x:c r="Q67" s="18"/>
      <x:c r="R67"/>
      <x:c r="S67"/>
      <x:c r="T67" s="19"/>
    </x:row>
    <x:row r="68">
      <x:c r="A68" t="str">
        <x:v>RE</x:v>
      </x:c>
      <x:c r="B68" t="n">
        <x:v>2702</x:v>
      </x:c>
      <x:c r="C68" t="n">
        <x:v>20260833</x:v>
      </x:c>
      <x:c r="D68" t="n">
        <x:v>7</x:v>
      </x:c>
      <x:c r="E68" t="n">
        <x:v>30</x:v>
      </x:c>
      <x:c r="F68" t="str">
        <x:v>initialization</x:v>
      </x:c>
      <x:c r="G68" t="str">
        <x:v>{"normal":{"pairs":[{"branch_1":{"input_state":0,"op":"sep_conv_3x3"},"branch_2":{"input_state":0,"op":"dil_sep_conv_3x3"}},{"branch_1":{"input_state":2,"op":"sep_conv_5x5"},"branch_2":{"input_state":2,"op":"sep_conv_7x7"}},{"branch_1":{"input_state":1,"op":"max_pool_3x3"},"branch_2":{"input_state":3,"op":"avg_pool_3x3"}},{"branch_1":{"input_state":2,"op":"avg_pool_3x3"},"branch_2":{"input_state":2,"op":"sep_conv_7x7"}},{"branch_1":{"input_state":1,"op":"avg_pool_3x3"},"branch_2":{"input_state":5,"op":"dil_sep_conv_3x3"}}]},"reduction":{"pairs":[{"branch_1":{"input_state":1,"op":"identity"},"branch_2":{"input_state":1,"op":"sep_conv_5x5"}},{"branch_1":{"input_state":0,"op":"conv_1x7_7x1"},"branch_2":{"input_state":2,"op":"sep_conv_5x5"}},{"branch_1":{"input_state":2,"op":"conv_1x7_7x1"},"branch_2":{"input_state":1,"op":"max_pool_3x3"}},{"branch_1":{"input_state":3,"op":"sep_conv_7x7"},"branch_2":{"input_state":4,"op":"max_pool_3x3"}},{"branch_1":{"input_state":2,"op":"sep_conv_7x7"},"branch_2":{"input_state":0,"op":"sep_conv_3x3"}}]}}</x:v>
      </x:c>
      <x:c r="H68" t="str"/>
      <x:c r="I68" t="str">
        <x:v>random_initialization</x:v>
      </x:c>
      <x:c r="J68" s="15" t="n">
        <x:v>0.768</x:v>
      </x:c>
      <x:c r="K68" s="15" t="n">
        <x:v>0.768</x:v>
      </x:c>
      <x:c r="L68" s="15"/>
      <x:c r="M68" s="15" t="n">
        <x:v>0.768</x:v>
      </x:c>
      <x:c r="N68" s="16" t="n">
        <x:v>959746</x:v>
      </x:c>
      <x:c r="O68" s="17" t="n">
        <x:v>138.17432969997753</x:v>
      </x:c>
      <x:c r="P68" t="str">
        <x:v>{"ages_in_evaluations":[6,5,4,3,2,1,0],"oldest_to_youngest_evaluation_indices":[1,2,3,4,5,6,7]}</x:v>
      </x:c>
      <x:c r="Q68" s="18"/>
      <x:c r="R68"/>
      <x:c r="S68"/>
      <x:c r="T68" s="19"/>
    </x:row>
    <x:row r="69">
      <x:c r="A69" t="str">
        <x:v>RE</x:v>
      </x:c>
      <x:c r="B69" t="n">
        <x:v>2702</x:v>
      </x:c>
      <x:c r="C69" t="n">
        <x:v>20260834</x:v>
      </x:c>
      <x:c r="D69" t="n">
        <x:v>8</x:v>
      </x:c>
      <x:c r="E69" t="n">
        <x:v>30</x:v>
      </x:c>
      <x:c r="F69" t="str">
        <x:v>initialization</x:v>
      </x:c>
      <x:c r="G69" t="str">
        <x:v>{"normal":{"pairs":[{"branch_1":{"input_state":1,"op":"identity"},"branch_2":{"input_state":0,"op":"max_pool_3x3"}},{"branch_1":{"input_state":0,"op":"dil_sep_conv_3x3"},"branch_2":{"input_state":1,"op":"dil_sep_conv_3x3"}},{"branch_1":{"input_state":1,"op":"identity"},"branch_2":{"input_state":3,"op":"identity"}},{"branch_1":{"input_state":2,"op":"sep_conv_7x7"},"branch_2":{"input_state":1,"op":"conv_1x7_7x1"}},{"branch_1":{"input_state":3,"op":"identity"},"branch_2":{"input_state":4,"op":"max_pool_3x3"}}]},"reduction":{"pairs":[{"branch_1":{"input_state":0,"op":"avg_pool_3x3"},"branch_2":{"input_state":0,"op":"conv_1x7_7x1"}},{"branch_1":{"input_state":2,"op":"sep_conv_3x3"},"branch_2":{"input_state":0,"op":"sep_conv_5x5"}},{"branch_1":{"input_state":2,"op":"dil_sep_conv_3x3"},"branch_2":{"input_state":2,"op":"dil_sep_conv_3x3"}},{"branch_1":{"input_state":2,"op":"identity"},"branch_2":{"input_state":3,"op":"avg_pool_3x3"}},{"branch_1":{"input_state":0,"op":"max_pool_3x3"},"branch_2":{"input_state":5,"op":"dil_sep_conv_3x3"}}]}}</x:v>
      </x:c>
      <x:c r="H69" t="str"/>
      <x:c r="I69" t="str">
        <x:v>random_initialization</x:v>
      </x:c>
      <x:c r="J69" s="15" t="n">
        <x:v>0.7778</x:v>
      </x:c>
      <x:c r="K69" s="15" t="n">
        <x:v>0.7778</x:v>
      </x:c>
      <x:c r="L69" s="15"/>
      <x:c r="M69" s="15" t="n">
        <x:v>0.7778</x:v>
      </x:c>
      <x:c r="N69" s="16" t="n">
        <x:v>683014</x:v>
      </x:c>
      <x:c r="O69" s="17" t="n">
        <x:v>109.49407339998288</x:v>
      </x:c>
      <x:c r="P69" t="str">
        <x:v>{"ages_in_evaluations":[7,6,5,4,3,2,1,0],"oldest_to_youngest_evaluation_indices":[1,2,3,4,5,6,7,8]}</x:v>
      </x:c>
      <x:c r="Q69" s="18"/>
      <x:c r="R69"/>
      <x:c r="S69"/>
      <x:c r="T69" s="19"/>
    </x:row>
    <x:row r="70">
      <x:c r="A70" t="str">
        <x:v>RE</x:v>
      </x:c>
      <x:c r="B70" t="n">
        <x:v>2702</x:v>
      </x:c>
      <x:c r="C70" t="n">
        <x:v>20260835</x:v>
      </x:c>
      <x:c r="D70" t="n">
        <x:v>9</x:v>
      </x:c>
      <x:c r="E70" t="n">
        <x:v>30</x:v>
      </x:c>
      <x:c r="F70" t="str">
        <x:v>initialization</x:v>
      </x:c>
      <x:c r="G70" t="str">
        <x:v>{"normal":{"pairs":[{"branch_1":{"input_state":0,"op":"sep_conv_3x3"},"branch_2":{"input_state":1,"op":"avg_pool_3x3"}},{"branch_1":{"input_state":0,"op":"conv_1x7_7x1"},"branch_2":{"input_state":0,"op":"conv_1x7_7x1"}},{"branch_1":{"input_state":0,"op":"conv_1x7_7x1"},"branch_2":{"input_state":2,"op":"sep_conv_5x5"}},{"branch_1":{"input_state":3,"op":"avg_pool_3x3"},"branch_2":{"input_state":0,"op":"dil_sep_conv_3x3"}},{"branch_1":{"input_state":0,"op":"sep_conv_3x3"},"branch_2":{"input_state":5,"op":"sep_conv_7x7"}}]},"reduction":{"pairs":[{"branch_1":{"input_state":0,"op":"sep_conv_5x5"},"branch_2":{"input_state":1,"op":"sep_conv_3x3"}},{"branch_1":{"input_state":0,"op":"sep_conv_7x7"},"branch_2":{"input_state":1,"op":"avg_pool_3x3"}},{"branch_1":{"input_state":0,"op":"conv_1x7_7x1"},"branch_2":{"input_state":1,"op":"conv_1x7_7x1"}},{"branch_1":{"input_state":2,"op":"conv_1x7_7x1"},"branch_2":{"input_state":3,"op":"sep_conv_3x3"}},{"branch_1":{"input_state":2,"op":"sep_conv_7x7"},"branch_2":{"input_state":4,"op":"sep_conv_5x5"}}]}}</x:v>
      </x:c>
      <x:c r="H70" t="str"/>
      <x:c r="I70" t="str">
        <x:v>random_initialization</x:v>
      </x:c>
      <x:c r="J70" s="15" t="n">
        <x:v>0.7482</x:v>
      </x:c>
      <x:c r="K70" s="15" t="n">
        <x:v>0.7482</x:v>
      </x:c>
      <x:c r="L70" s="15"/>
      <x:c r="M70" s="15" t="n">
        <x:v>0.7482</x:v>
      </x:c>
      <x:c r="N70" s="16" t="n">
        <x:v>1021486</x:v>
      </x:c>
      <x:c r="O70" s="17" t="n">
        <x:v>182.4807381000137</x:v>
      </x:c>
      <x:c r="P70" t="str">
        <x:v>{"ages_in_evaluations":[8,7,6,5,4,3,2,1,0],"oldest_to_youngest_evaluation_indices":[1,2,3,4,5,6,7,8,9]}</x:v>
      </x:c>
      <x:c r="Q70" s="18"/>
      <x:c r="R70"/>
      <x:c r="S70"/>
      <x:c r="T70" s="19"/>
    </x:row>
    <x:row r="71">
      <x:c r="A71" t="str">
        <x:v>RE</x:v>
      </x:c>
      <x:c r="B71" t="n">
        <x:v>2702</x:v>
      </x:c>
      <x:c r="C71" t="n">
        <x:v>20260836</x:v>
      </x:c>
      <x:c r="D71" t="n">
        <x:v>10</x:v>
      </x:c>
      <x:c r="E71" t="n">
        <x:v>30</x:v>
      </x:c>
      <x:c r="F71" t="str">
        <x:v>initialization</x:v>
      </x:c>
      <x:c r="G71" t="str">
        <x:v>{"normal":{"pairs":[{"branch_1":{"input_state":0,"op":"max_pool_3x3"},"branch_2":{"input_state":1,"op":"sep_conv_7x7"}},{"branch_1":{"input_state":2,"op":"conv_1x7_7x1"},"branch_2":{"input_state":2,"op":"identity"}},{"branch_1":{"input_state":0,"op":"dil_sep_conv_3x3"},"branch_2":{"input_state":2,"op":"sep_conv_3x3"}},{"branch_1":{"input_state":1,"op":"identity"},"branch_2":{"input_state":2,"op":"sep_conv_7x7"}},{"branch_1":{"input_state":2,"op":"conv_1x7_7x1"},"branch_2":{"input_state":1,"op":"max_pool_3x3"}}]},"reduction":{"pairs":[{"branch_1":{"input_state":1,"op":"max_pool_3x3"},"branch_2":{"input_state":1,"op":"dil_sep_conv_3x3"}},{"branch_1":{"input_state":0,"op":"sep_conv_3x3"},"branch_2":{"input_state":2,"op":"identity"}},{"branch_1":{"input_state":2,"op":"sep_conv_3x3"},"branch_2":{"input_state":2,"op":"sep_conv_3x3"}},{"branch_1":{"input_state":3,"op":"sep_conv_7x7"},"branch_2":{"input_state":2,"op":"max_pool_3x3"}},{"branch_1":{"input_state":0,"op":"sep_conv_3x3"},"branch_2":{"input_state":2,"op":"sep_conv_3x3"}}]}}</x:v>
      </x:c>
      <x:c r="H71" t="str"/>
      <x:c r="I71" t="str">
        <x:v>random_initialization</x:v>
      </x:c>
      <x:c r="J71" s="15" t="n">
        <x:v>0.785</x:v>
      </x:c>
      <x:c r="K71" s="15" t="n">
        <x:v>0.785</x:v>
      </x:c>
      <x:c r="L71" s="15"/>
      <x:c r="M71" s="15" t="n">
        <x:v>0.785</x:v>
      </x:c>
      <x:c r="N71" s="16" t="n">
        <x:v>1010698</x:v>
      </x:c>
      <x:c r="O71" s="17" t="n">
        <x:v>146.82916439999826</x:v>
      </x:c>
      <x:c r="P71" t="str">
        <x:v>{"ages_in_evaluations":[9,8,7,6,5,4,3,2,1,0],"oldest_to_youngest_evaluation_indices":[1,2,3,4,5,6,7,8,9,10]}</x:v>
      </x:c>
      <x:c r="Q71" s="18"/>
      <x:c r="R71"/>
      <x:c r="S71"/>
      <x:c r="T71" s="19"/>
    </x:row>
    <x:row r="72">
      <x:c r="A72" t="str">
        <x:v>RE</x:v>
      </x:c>
      <x:c r="B72" t="n">
        <x:v>2702</x:v>
      </x:c>
      <x:c r="C72" t="n">
        <x:v>20260837</x:v>
      </x:c>
      <x:c r="D72" t="n">
        <x:v>11</x:v>
      </x:c>
      <x:c r="E72" t="n">
        <x:v>30</x:v>
      </x:c>
      <x:c r="F72" t="str">
        <x:v>initialization</x:v>
      </x:c>
      <x:c r="G72" t="str">
        <x:v>{"normal":{"pairs":[{"branch_1":{"input_state":0,"op":"conv_1x7_7x1"},"branch_2":{"input_state":0,"op":"max_pool_3x3"}},{"branch_1":{"input_state":2,"op":"sep_conv_3x3"},"branch_2":{"input_state":2,"op":"dil_sep_conv_3x3"}},{"branch_1":{"input_state":3,"op":"identity"},"branch_2":{"input_state":0,"op":"sep_conv_7x7"}},{"branch_1":{"input_state":0,"op":"max_pool_3x3"},"branch_2":{"input_state":1,"op":"sep_conv_3x3"}},{"branch_1":{"input_state":1,"op":"dil_sep_conv_3x3"},"branch_2":{"input_state":3,"op":"dil_sep_conv_3x3"}}]},"reduction":{"pairs":[{"branch_1":{"input_state":1,"op":"conv_1x7_7x1"},"branch_2":{"input_state":0,"op":"sep_conv_3x3"}},{"branch_1":{"input_state":2,"op":"sep_conv_5x5"},"branch_2":{"input_state":2,"op":"max_pool_3x3"}},{"branch_1":{"input_state":1,"op":"sep_conv_7x7"},"branch_2":{"input_state":0,"op":"sep_conv_5x5"}},{"branch_1":{"input_state":4,"op":"sep_conv_5x5"},"branch_2":{"input_state":2,"op":"dil_sep_conv_3x3"}},{"branch_1":{"input_state":4,"op":"conv_1x7_7x1"},"branch_2":{"input_state":1,"op":"identity"}}]}}</x:v>
      </x:c>
      <x:c r="H72" t="str"/>
      <x:c r="I72" t="str">
        <x:v>random_initialization</x:v>
      </x:c>
      <x:c r="J72" s="15" t="n">
        <x:v>0.7664</x:v>
      </x:c>
      <x:c r="K72" s="15" t="n">
        <x:v>0.7664</x:v>
      </x:c>
      <x:c r="L72" s="15"/>
      <x:c r="M72" s="15" t="n">
        <x:v>0.7664</x:v>
      </x:c>
      <x:c r="N72" s="16" t="n">
        <x:v>1063630</x:v>
      </x:c>
      <x:c r="O72" s="17" t="n">
        <x:v>141.78121730001294</x:v>
      </x:c>
      <x:c r="P72" t="str">
        <x:v>{"ages_in_evaluations":[10,9,8,7,6,5,4,3,2,1,0],"oldest_to_youngest_evaluation_indices":[1,2,3,4,5,6,7,8,9,10,11]}</x:v>
      </x:c>
      <x:c r="Q72" s="18"/>
      <x:c r="R72"/>
      <x:c r="S72"/>
      <x:c r="T72" s="19"/>
    </x:row>
    <x:row r="73">
      <x:c r="A73" t="str">
        <x:v>RE</x:v>
      </x:c>
      <x:c r="B73" t="n">
        <x:v>2702</x:v>
      </x:c>
      <x:c r="C73" t="n">
        <x:v>20260838</x:v>
      </x:c>
      <x:c r="D73" t="n">
        <x:v>12</x:v>
      </x:c>
      <x:c r="E73" t="n">
        <x:v>30</x:v>
      </x:c>
      <x:c r="F73" t="str">
        <x:v>initialization</x:v>
      </x:c>
      <x:c r="G73" t="str">
        <x:v>{"normal":{"pairs":[{"branch_1":{"input_state":0,"op":"sep_conv_7x7"},"branch_2":{"input_state":0,"op":"max_pool_3x3"}},{"branch_1":{"input_state":2,"op":"max_pool_3x3"},"branch_2":{"input_state":1,"op":"conv_1x7_7x1"}},{"branch_1":{"input_state":3,"op":"sep_conv_7x7"},"branch_2":{"input_state":3,"op":"sep_conv_5x5"}},{"branch_1":{"input_state":2,"op":"dil_sep_conv_3x3"},"branch_2":{"input_state":0,"op":"conv_1x7_7x1"}},{"branch_1":{"input_state":4,"op":"sep_conv_3x3"},"branch_2":{"input_state":2,"op":"max_pool_3x3"}}]},"reduction":{"pairs":[{"branch_1":{"input_state":0,"op":"conv_1x7_7x1"},"branch_2":{"input_state":0,"op":"identity"}},{"branch_1":{"input_state":2,"op":"sep_conv_7x7"},"branch_2":{"input_state":0,"op":"dil_sep_conv_3x3"}},{"branch_1":{"input_state":1,"op":"sep_conv_7x7"},"branch_2":{"input_state":3,"op":"sep_conv_5x5"}},{"branch_1":{"input_state":0,"op":"dil_sep_conv_3x3"},"branch_2":{"input_state":0,"op":"sep_conv_7x7"}},{"branch_1":{"input_state":4,"op":"sep_conv_7x7"},"branch_2":{"input_state":2,"op":"avg_pool_3x3"}}]}}</x:v>
      </x:c>
      <x:c r="H73" t="str"/>
      <x:c r="I73" t="str">
        <x:v>random_initialization</x:v>
      </x:c>
      <x:c r="J73" s="15" t="n">
        <x:v>0.735</x:v>
      </x:c>
      <x:c r="K73" s="15" t="n">
        <x:v>0.735</x:v>
      </x:c>
      <x:c r="L73" s="15"/>
      <x:c r="M73" s="15" t="n">
        <x:v>0.735</x:v>
      </x:c>
      <x:c r="N73" s="16" t="n">
        <x:v>1033906</x:v>
      </x:c>
      <x:c r="O73" s="17" t="n">
        <x:v>159.08187660001568</x:v>
      </x:c>
      <x:c r="P73" t="str">
        <x:v>{"ages_in_evaluations":[11,10,9,8,7,6,5,4,3,2,1,0],"oldest_to_youngest_evaluation_indices":[1,2,3,4,5,6,7,8,9,10,11,12]}</x:v>
      </x:c>
      <x:c r="Q73" s="18"/>
      <x:c r="R73"/>
      <x:c r="S73"/>
      <x:c r="T73" s="19"/>
    </x:row>
    <x:row r="74">
      <x:c r="A74" t="str">
        <x:v>RE</x:v>
      </x:c>
      <x:c r="B74" t="n">
        <x:v>2702</x:v>
      </x:c>
      <x:c r="C74" t="n">
        <x:v>20260839</x:v>
      </x:c>
      <x:c r="D74" t="n">
        <x:v>13</x:v>
      </x:c>
      <x:c r="E74" t="n">
        <x:v>30</x:v>
      </x:c>
      <x:c r="F74" t="str">
        <x:v>initialization</x:v>
      </x:c>
      <x:c r="G74" t="str">
        <x:v>{"normal":{"pairs":[{"branch_1":{"input_state":0,"op":"dil_sep_conv_3x3"},"branch_2":{"input_state":0,"op":"conv_1x7_7x1"}},{"branch_1":{"input_state":1,"op":"identity"},"branch_2":{"input_state":1,"op":"avg_pool_3x3"}},{"branch_1":{"input_state":0,"op":"max_pool_3x3"},"branch_2":{"input_state":0,"op":"avg_pool_3x3"}},{"branch_1":{"input_state":1,"op":"avg_pool_3x3"},"branch_2":{"input_state":2,"op":"sep_conv_3x3"}},{"branch_1":{"input_state":1,"op":"sep_conv_5x5"},"branch_2":{"input_state":1,"op":"conv_1x7_7x1"}}]},"reduction":{"pairs":[{"branch_1":{"input_state":0,"op":"conv_1x7_7x1"},"branch_2":{"input_state":0,"op":"dil_sep_conv_3x3"}},{"branch_1":{"input_state":0,"op":"conv_1x7_7x1"},"branch_2":{"input_state":0,"op":"sep_conv_5x5"}},{"branch_1":{"input_state":0,"op":"sep_conv_5x5"},"branch_2":{"input_state":1,"op":"sep_conv_3x3"}},{"branch_1":{"input_state":1,"op":"max_pool_3x3"},"branch_2":{"input_state":0,"op":"avg_pool_3x3"}},{"branch_1":{"input_state":1,"op":"dil_sep_conv_3x3"},"branch_2":{"input_state":2,"op":"sep_conv_3x3"}}]}}</x:v>
      </x:c>
      <x:c r="H74" t="str"/>
      <x:c r="I74" t="str">
        <x:v>random_initialization</x:v>
      </x:c>
      <x:c r="J74" s="15" t="n">
        <x:v>0.8124</x:v>
      </x:c>
      <x:c r="K74" s="15" t="n">
        <x:v>0.8124</x:v>
      </x:c>
      <x:c r="L74" s="15"/>
      <x:c r="M74" s="15" t="n">
        <x:v>0.8124</x:v>
      </x:c>
      <x:c r="N74" s="16" t="n">
        <x:v>889738</x:v>
      </x:c>
      <x:c r="O74" s="17" t="n">
        <x:v>128.20257120000315</x:v>
      </x:c>
      <x:c r="P74" t="str">
        <x:v>{"ages_in_evaluations":[12,11,10,9,8,7,6,5,4,3,2,1,0],"oldest_to_youngest_evaluation_indices":[1,2,3,4,5,6,7,8,9,10,11,12,13]}</x:v>
      </x:c>
      <x:c r="Q74" s="18"/>
      <x:c r="R74"/>
      <x:c r="S74"/>
      <x:c r="T74" s="19"/>
    </x:row>
    <x:row r="75">
      <x:c r="A75" t="str">
        <x:v>RE</x:v>
      </x:c>
      <x:c r="B75" t="n">
        <x:v>2702</x:v>
      </x:c>
      <x:c r="C75" t="n">
        <x:v>20260840</x:v>
      </x:c>
      <x:c r="D75" t="n">
        <x:v>14</x:v>
      </x:c>
      <x:c r="E75" t="n">
        <x:v>30</x:v>
      </x:c>
      <x:c r="F75" t="str">
        <x:v>initialization</x:v>
      </x:c>
      <x:c r="G75" t="str">
        <x:v>{"normal":{"pairs":[{"branch_1":{"input_state":0,"op":"identity"},"branch_2":{"input_state":0,"op":"avg_pool_3x3"}},{"branch_1":{"input_state":1,"op":"sep_conv_7x7"},"branch_2":{"input_state":2,"op":"sep_conv_7x7"}},{"branch_1":{"input_state":2,"op":"conv_1x7_7x1"},"branch_2":{"input_state":3,"op":"max_pool_3x3"}},{"branch_1":{"input_state":2,"op":"sep_conv_3x3"},"branch_2":{"input_state":1,"op":"sep_conv_7x7"}},{"branch_1":{"input_state":3,"op":"dil_sep_conv_3x3"},"branch_2":{"input_state":1,"op":"sep_conv_3x3"}}]},"reduction":{"pairs":[{"branch_1":{"input_state":1,"op":"avg_pool_3x3"},"branch_2":{"input_state":1,"op":"avg_pool_3x3"}},{"branch_1":{"input_state":0,"op":"conv_1x7_7x1"},"branch_2":{"input_state":2,"op":"avg_pool_3x3"}},{"branch_1":{"input_state":1,"op":"max_pool_3x3"},"branch_2":{"input_state":3,"op":"sep_conv_7x7"}},{"branch_1":{"input_state":1,"op":"sep_conv_7x7"},"branch_2":{"input_state":4,"op":"max_pool_3x3"}},{"branch_1":{"input_state":2,"op":"max_pool_3x3"},"branch_2":{"input_state":2,"op":"conv_1x7_7x1"}}]}}</x:v>
      </x:c>
      <x:c r="H75" t="str"/>
      <x:c r="I75" t="str">
        <x:v>random_initialization</x:v>
      </x:c>
      <x:c r="J75" s="15" t="n">
        <x:v>0.7606</x:v>
      </x:c>
      <x:c r="K75" s="15" t="n">
        <x:v>0.7606</x:v>
      </x:c>
      <x:c r="L75" s="15"/>
      <x:c r="M75" s="15" t="n">
        <x:v>0.7606</x:v>
      </x:c>
      <x:c r="N75" s="16" t="n">
        <x:v>1002286</x:v>
      </x:c>
      <x:c r="O75" s="17" t="n">
        <x:v>150.6880194999976</x:v>
      </x:c>
      <x:c r="P75" t="str">
        <x:v>{"ages_in_evaluations":[13,12,11,10,9,8,7,6,5,4,3,2,1,0],"oldest_to_youngest_evaluation_indices":[1,2,3,4,5,6,7,8,9,10,11,12,13,14]}</x:v>
      </x:c>
      <x:c r="Q75" s="18"/>
      <x:c r="R75"/>
      <x:c r="S75"/>
      <x:c r="T75" s="19"/>
    </x:row>
    <x:row r="76">
      <x:c r="A76" t="str">
        <x:v>RE</x:v>
      </x:c>
      <x:c r="B76" t="n">
        <x:v>2702</x:v>
      </x:c>
      <x:c r="C76" t="n">
        <x:v>20260841</x:v>
      </x:c>
      <x:c r="D76" t="n">
        <x:v>15</x:v>
      </x:c>
      <x:c r="E76" t="n">
        <x:v>30</x:v>
      </x:c>
      <x:c r="F76" t="str">
        <x:v>initialization</x:v>
      </x:c>
      <x:c r="G76" t="str">
        <x:v>{"normal":{"pairs":[{"branch_1":{"input_state":0,"op":"sep_conv_7x7"},"branch_2":{"input_state":0,"op":"sep_conv_7x7"}},{"branch_1":{"input_state":2,"op":"max_pool_3x3"},"branch_2":{"input_state":2,"op":"sep_conv_7x7"}},{"branch_1":{"input_state":0,"op":"identity"},"branch_2":{"input_state":3,"op":"identity"}},{"branch_1":{"input_state":1,"op":"max_pool_3x3"},"branch_2":{"input_state":0,"op":"sep_conv_7x7"}},{"branch_1":{"input_state":0,"op":"sep_conv_5x5"},"branch_2":{"input_state":5,"op":"sep_conv_3x3"}}]},"reduction":{"pairs":[{"branch_1":{"input_state":1,"op":"max_pool_3x3"},"branch_2":{"input_state":0,"op":"max_pool_3x3"}},{"branch_1":{"input_state":2,"op":"identity"},"branch_2":{"input_state":1,"op":"sep_conv_7x7"}},{"branch_1":{"input_state":1,"op":"identity"},"branch_2":{"input_state":0,"op":"sep_conv_7x7"}},{"branch_1":{"input_state":4,"op":"avg_pool_3x3"},"branch_2":{"input_state":4,"op":"conv_1x7_7x1"}},{"branch_1":{"input_state":3,"op":"max_pool_3x3"},"branch_2":{"input_state":1,"op":"conv_1x7_7x1"}}]}}</x:v>
      </x:c>
      <x:c r="H76" t="str"/>
      <x:c r="I76" t="str">
        <x:v>random_initialization</x:v>
      </x:c>
      <x:c r="J76" s="15" t="n">
        <x:v>0.7866</x:v>
      </x:c>
      <x:c r="K76" s="15" t="n">
        <x:v>0.7866</x:v>
      </x:c>
      <x:c r="L76" s="15"/>
      <x:c r="M76" s="15" t="n">
        <x:v>0.7866</x:v>
      </x:c>
      <x:c r="N76" s="16" t="n">
        <x:v>952546</x:v>
      </x:c>
      <x:c r="O76" s="17" t="n">
        <x:v>142.03894690002198</x:v>
      </x:c>
      <x:c r="P76" t="str">
        <x:v>{"ages_in_evaluations":[14,13,12,11,10,9,8,7,6,5,4,3,2,1,0],"oldest_to_youngest_evaluation_indices":[1,2,3,4,5,6,7,8,9,10,11,12,13,14,15]}</x:v>
      </x:c>
      <x:c r="Q76" s="18"/>
      <x:c r="R76"/>
      <x:c r="S76"/>
      <x:c r="T76" s="19"/>
    </x:row>
    <x:row r="77">
      <x:c r="A77" t="str">
        <x:v>RE</x:v>
      </x:c>
      <x:c r="B77" t="n">
        <x:v>2702</x:v>
      </x:c>
      <x:c r="C77" t="n">
        <x:v>20260842</x:v>
      </x:c>
      <x:c r="D77" t="n">
        <x:v>16</x:v>
      </x:c>
      <x:c r="E77" t="n">
        <x:v>30</x:v>
      </x:c>
      <x:c r="F77" t="str">
        <x:v>initialization</x:v>
      </x:c>
      <x:c r="G77" t="str">
        <x:v>{"normal":{"pairs":[{"branch_1":{"input_state":0,"op":"identity"},"branch_2":{"input_state":1,"op":"conv_1x7_7x1"}},{"branch_1":{"input_state":0,"op":"sep_conv_7x7"},"branch_2":{"input_state":1,"op":"max_pool_3x3"}},{"branch_1":{"input_state":3,"op":"avg_pool_3x3"},"branch_2":{"input_state":2,"op":"identity"}},{"branch_1":{"input_state":0,"op":"dil_sep_conv_3x3"},"branch_2":{"input_state":0,"op":"dil_sep_conv_3x3"}},{"branch_1":{"input_state":4,"op":"sep_conv_7x7"},"branch_2":{"input_state":3,"op":"sep_conv_5x5"}}]},"reduction":{"pairs":[{"branch_1":{"input_state":1,"op":"max_pool_3x3"},"branch_2":{"input_state":1,"op":"sep_conv_5x5"}},{"branch_1":{"input_state":2,"op":"avg_pool_3x3"},"branch_2":{"input_state":0,"op":"sep_conv_7x7"}},{"branch_1":{"input_state":3,"op":"dil_sep_conv_3x3"},"branch_2":{"input_state":1,"op":"max_pool_3x3"}},{"branch_1":{"input_state":3,"op":"dil_sep_conv_3x3"},"branch_2":{"input_state":4,"op":"dil_sep_conv_3x3"}},{"branch_1":{"input_state":3,"op":"avg_pool_3x3"},"branch_2":{"input_state":5,"op":"sep_conv_7x7"}}]}}</x:v>
      </x:c>
      <x:c r="H77" t="str"/>
      <x:c r="I77" t="str">
        <x:v>random_initialization</x:v>
      </x:c>
      <x:c r="J77" s="15" t="n">
        <x:v>0.7564</x:v>
      </x:c>
      <x:c r="K77" s="15" t="n">
        <x:v>0.7564</x:v>
      </x:c>
      <x:c r="L77" s="15"/>
      <x:c r="M77" s="15" t="n">
        <x:v>0.7564</x:v>
      </x:c>
      <x:c r="N77" s="16" t="n">
        <x:v>869998</x:v>
      </x:c>
      <x:c r="O77" s="17" t="n">
        <x:v>132.4660092999984</x:v>
      </x:c>
      <x:c r="P77" t="str">
        <x:v>{"ages_in_evaluations":[15,14,13,12,11,10,9,8,7,6,5,4,3,2,1,0],"oldest_to_youngest_evaluation_indices":[1,2,3,4,5,6,7,8,9,10,11,12,13,14,15,16]}</x:v>
      </x:c>
      <x:c r="Q77" s="18"/>
      <x:c r="R77"/>
      <x:c r="S77"/>
      <x:c r="T77" s="19"/>
    </x:row>
    <x:row r="78">
      <x:c r="A78" t="str">
        <x:v>RE</x:v>
      </x:c>
      <x:c r="B78" t="n">
        <x:v>2702</x:v>
      </x:c>
      <x:c r="C78" t="n">
        <x:v>20260843</x:v>
      </x:c>
      <x:c r="D78" t="n">
        <x:v>17</x:v>
      </x:c>
      <x:c r="E78" t="n">
        <x:v>30</x:v>
      </x:c>
      <x:c r="F78" t="str">
        <x:v>initialization</x:v>
      </x:c>
      <x:c r="G78" t="str">
        <x:v>{"normal":{"pairs":[{"branch_1":{"input_state":0,"op":"max_pool_3x3"},"branch_2":{"input_state":1,"op":"conv_1x7_7x1"}},{"branch_1":{"input_state":2,"op":"sep_conv_5x5"},"branch_2":{"input_state":1,"op":"max_pool_3x3"}},{"branch_1":{"input_state":3,"op":"avg_pool_3x3"},"branch_2":{"input_state":0,"op":"sep_conv_3x3"}},{"branch_1":{"input_state":1,"op":"sep_conv_7x7"},"branch_2":{"input_state":1,"op":"sep_conv_3x3"}},{"branch_1":{"input_state":4,"op":"avg_pool_3x3"},"branch_2":{"input_state":1,"op":"sep_conv_7x7"}}]},"reduction":{"pairs":[{"branch_1":{"input_state":1,"op":"avg_pool_3x3"},"branch_2":{"input_state":1,"op":"dil_sep_conv_3x3"}},{"branch_1":{"input_state":1,"op":"max_pool_3x3"},"branch_2":{"input_state":0,"op":"conv_1x7_7x1"}},{"branch_1":{"input_state":3,"op":"avg_pool_3x3"},"branch_2":{"input_state":3,"op":"sep_conv_5x5"}},{"branch_1":{"input_state":1,"op":"dil_sep_conv_3x3"},"branch_2":{"input_state":1,"op":"max_pool_3x3"}},{"branch_1":{"input_state":0,"op":"identity"},"branch_2":{"input_state":3,"op":"conv_1x7_7x1"}}]}}</x:v>
      </x:c>
      <x:c r="H78" t="str"/>
      <x:c r="I78" t="str">
        <x:v>random_initialization</x:v>
      </x:c>
      <x:c r="J78" s="15" t="n">
        <x:v>0.7862</x:v>
      </x:c>
      <x:c r="K78" s="15" t="n">
        <x:v>0.7862</x:v>
      </x:c>
      <x:c r="L78" s="15"/>
      <x:c r="M78" s="15" t="n">
        <x:v>0.7862</x:v>
      </x:c>
      <x:c r="N78" s="16" t="n">
        <x:v>893758</x:v>
      </x:c>
      <x:c r="O78" s="17" t="n">
        <x:v>135.12806429999182</x:v>
      </x:c>
      <x:c r="P78" t="str">
        <x:v>{"ages_in_evaluations":[16,15,14,13,12,11,10,9,8,7,6,5,4,3,2,1,0],"oldest_to_youngest_evaluation_indices":[1,2,3,4,5,6,7,8,9,10,11,12,13,14,15,16,17]}</x:v>
      </x:c>
      <x:c r="Q78" s="18"/>
      <x:c r="R78"/>
      <x:c r="S78"/>
      <x:c r="T78" s="19"/>
    </x:row>
    <x:row r="79">
      <x:c r="A79" t="str">
        <x:v>RE</x:v>
      </x:c>
      <x:c r="B79" t="n">
        <x:v>2702</x:v>
      </x:c>
      <x:c r="C79" t="n">
        <x:v>20260844</x:v>
      </x:c>
      <x:c r="D79" t="n">
        <x:v>18</x:v>
      </x:c>
      <x:c r="E79" t="n">
        <x:v>30</x:v>
      </x:c>
      <x:c r="F79" t="str">
        <x:v>initialization</x:v>
      </x:c>
      <x:c r="G79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0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H79" t="str"/>
      <x:c r="I79" t="str">
        <x:v>random_initialization</x:v>
      </x:c>
      <x:c r="J79" s="15" t="n">
        <x:v>0.801</x:v>
      </x:c>
      <x:c r="K79" s="15" t="n">
        <x:v>0.801</x:v>
      </x:c>
      <x:c r="L79" s="15"/>
      <x:c r="M79" s="15" t="n">
        <x:v>0.801</x:v>
      </x:c>
      <x:c r="N79" s="16" t="n">
        <x:v>698662</x:v>
      </x:c>
      <x:c r="O79" s="17" t="n">
        <x:v>104.55576439999275</x:v>
      </x:c>
      <x:c r="P79" t="str">
        <x:v>{"ages_in_evaluations":[17,16,15,14,13,12,11,10,9,8,7,6,5,4,3,2,1,0],"oldest_to_youngest_evaluation_indices":[1,2,3,4,5,6,7,8,9,10,11,12,13,14,15,16,17,18]}</x:v>
      </x:c>
      <x:c r="Q79" s="18"/>
      <x:c r="R79"/>
      <x:c r="S79"/>
      <x:c r="T79" s="19"/>
    </x:row>
    <x:row r="80">
      <x:c r="A80" t="str">
        <x:v>RE</x:v>
      </x:c>
      <x:c r="B80" t="n">
        <x:v>2702</x:v>
      </x:c>
      <x:c r="C80" t="n">
        <x:v>20260845</x:v>
      </x:c>
      <x:c r="D80" t="n">
        <x:v>19</x:v>
      </x:c>
      <x:c r="E80" t="n">
        <x:v>30</x:v>
      </x:c>
      <x:c r="F80" t="str">
        <x:v>initialization</x:v>
      </x:c>
      <x:c r="G80" t="str">
        <x:v>{"normal":{"pairs":[{"branch_1":{"input_state":0,"op":"conv_1x7_7x1"},"branch_2":{"input_state":0,"op":"sep_conv_3x3"}},{"branch_1":{"input_state":2,"op":"max_pool_3x3"},"branch_2":{"input_state":0,"op":"identity"}},{"branch_1":{"input_state":3,"op":"conv_1x7_7x1"},"branch_2":{"input_state":0,"op":"sep_conv_7x7"}},{"branch_1":{"input_state":1,"op":"sep_conv_7x7"},"branch_2":{"input_state":4,"op":"dil_sep_conv_3x3"}},{"branch_1":{"input_state":0,"op":"identity"},"branch_2":{"input_state":1,"op":"sep_conv_5x5"}}]},"reduction":{"pairs":[{"branch_1":{"input_state":0,"op":"identity"},"branch_2":{"input_state":1,"op":"sep_conv_5x5"}},{"branch_1":{"input_state":1,"op":"sep_conv_3x3"},"branch_2":{"input_state":0,"op":"sep_conv_5x5"}},{"branch_1":{"input_state":3,"op":"dil_sep_conv_3x3"},"branch_2":{"input_state":0,"op":"avg_pool_3x3"}},{"branch_1":{"input_state":1,"op":"dil_sep_conv_3x3"},"branch_2":{"input_state":4,"op":"sep_conv_5x5"}},{"branch_1":{"input_state":4,"op":"conv_1x7_7x1"},"branch_2":{"input_state":1,"op":"dil_sep_conv_3x3"}}]}}</x:v>
      </x:c>
      <x:c r="H80" t="str"/>
      <x:c r="I80" t="str">
        <x:v>random_initialization</x:v>
      </x:c>
      <x:c r="J80" s="15" t="n">
        <x:v>0.7048</x:v>
      </x:c>
      <x:c r="K80" s="15" t="n">
        <x:v>0.7048</x:v>
      </x:c>
      <x:c r="L80" s="15"/>
      <x:c r="M80" s="15" t="n">
        <x:v>0.7048</x:v>
      </x:c>
      <x:c r="N80" s="16" t="n">
        <x:v>1020082</x:v>
      </x:c>
      <x:c r="O80" s="17" t="n">
        <x:v>151.51860000001034</x:v>
      </x:c>
      <x:c r="P80" t="str">
        <x:v>{"ages_in_evaluations":[18,17,16,15,14,13,12,11,10,9,8,7,6,5,4,3,2,1,0],"oldest_to_youngest_evaluation_indices":[1,2,3,4,5,6,7,8,9,10,11,12,13,14,15,16,17,18,19]}</x:v>
      </x:c>
      <x:c r="Q80" s="18"/>
      <x:c r="R80"/>
      <x:c r="S80"/>
      <x:c r="T80" s="19"/>
    </x:row>
    <x:row r="81">
      <x:c r="A81" t="str">
        <x:v>RE</x:v>
      </x:c>
      <x:c r="B81" t="n">
        <x:v>2702</x:v>
      </x:c>
      <x:c r="C81" t="n">
        <x:v>20260846</x:v>
      </x:c>
      <x:c r="D81" t="n">
        <x:v>20</x:v>
      </x:c>
      <x:c r="E81" t="n">
        <x:v>30</x:v>
      </x:c>
      <x:c r="F81" t="str">
        <x:v>initialization</x:v>
      </x:c>
      <x:c r="G81" t="str">
        <x:v>{"normal":{"pairs":[{"branch_1":{"input_state":0,"op":"sep_conv_3x3"},"branch_2":{"input_state":0,"op":"identity"}},{"branch_1":{"input_state":2,"op":"avg_pool_3x3"},"branch_2":{"input_state":2,"op":"dil_sep_conv_3x3"}},{"branch_1":{"input_state":0,"op":"conv_1x7_7x1"},"branch_2":{"input_state":1,"op":"sep_conv_7x7"}},{"branch_1":{"input_state":3,"op":"sep_conv_3x3"},"branch_2":{"input_state":4,"op":"conv_1x7_7x1"}},{"branch_1":{"input_state":5,"op":"avg_pool_3x3"},"branch_2":{"input_state":1,"op":"conv_1x7_7x1"}}]},"reduction":{"pairs":[{"branch_1":{"input_state":0,"op":"conv_1x7_7x1"},"branch_2":{"input_state":1,"op":"max_pool_3x3"}},{"branch_1":{"input_state":1,"op":"sep_conv_7x7"},"branch_2":{"input_state":0,"op":"max_pool_3x3"}},{"branch_1":{"input_state":2,"op":"conv_1x7_7x1"},"branch_2":{"input_state":3,"op":"sep_conv_5x5"}},{"branch_1":{"input_state":4,"op":"conv_1x7_7x1"},"branch_2":{"input_state":0,"op":"avg_pool_3x3"}},{"branch_1":{"input_state":2,"op":"dil_sep_conv_3x3"},"branch_2":{"input_state":2,"op":"dil_sep_conv_3x3"}}]}}</x:v>
      </x:c>
      <x:c r="H81" t="str"/>
      <x:c r="I81" t="str">
        <x:v>random_initialization</x:v>
      </x:c>
      <x:c r="J81" s="15" t="n">
        <x:v>0.6658</x:v>
      </x:c>
      <x:c r="K81" s="15" t="n">
        <x:v>0.6658</x:v>
      </x:c>
      <x:c r="L81" s="15"/>
      <x:c r="M81" s="15" t="n">
        <x:v>0.6658</x:v>
      </x:c>
      <x:c r="N81" s="16" t="n">
        <x:v>797998</x:v>
      </x:c>
      <x:c r="O81" s="17" t="n">
        <x:v>150.59034640001482</x:v>
      </x:c>
      <x:c r="P81" t="str">
        <x:v>{"ages_in_evaluations":[19,18,17,16,15,14,13,12,11,10,9,8,7,6,5,4,3,2,1,0],"oldest_to_youngest_evaluation_indices":[1,2,3,4,5,6,7,8,9,10,11,12,13,14,15,16,17,18,19,20]}</x:v>
      </x:c>
      <x:c r="Q81" s="18"/>
      <x:c r="R81"/>
      <x:c r="S81"/>
      <x:c r="T81" s="19"/>
    </x:row>
    <x:row r="82">
      <x:c r="A82" t="str">
        <x:v>RE</x:v>
      </x:c>
      <x:c r="B82" t="n">
        <x:v>2702</x:v>
      </x:c>
      <x:c r="C82" t="n">
        <x:v>20260847</x:v>
      </x:c>
      <x:c r="D82" t="n">
        <x:v>21</x:v>
      </x:c>
      <x:c r="E82" t="n">
        <x:v>30</x:v>
      </x:c>
      <x:c r="F82" t="str">
        <x:v>evolution</x:v>
      </x:c>
      <x:c r="G82" t="str">
        <x:v>{"normal":{"pairs":[{"branch_1":{"input_state":0,"op":"sep_conv_5x5"},"branch_2":{"input_state":0,"op":"max_pool_3x3"}},{"branch_1":{"input_state":2,"op":"conv_1x7_7x1"},"branch_2":{"input_state":2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0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H82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0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I82" t="str">
        <x:v>hidden_state</x:v>
      </x:c>
      <x:c r="J82" s="15" t="n">
        <x:v>0.8156</x:v>
      </x:c>
      <x:c r="K82" s="15" t="n">
        <x:v>0.8156</x:v>
      </x:c>
      <x:c r="L82" s="15"/>
      <x:c r="M82" s="15" t="n">
        <x:v>0.8156</x:v>
      </x:c>
      <x:c r="N82" s="16" t="n">
        <x:v>698662</x:v>
      </x:c>
      <x:c r="O82" s="17" t="n">
        <x:v>103.56737980002072</x:v>
      </x:c>
      <x:c r="P82" t="str">
        <x:v>{"ages_in_evaluations":[19,18,17,16,15,14,13,12,11,10,9,8,7,6,5,4,3,2,1,0],"oldest_to_youngest_evaluation_indices":[2,3,4,5,6,7,8,9,10,11,12,13,14,15,16,17,18,19,20,21]}</x:v>
      </x:c>
      <x:c r="Q82" s="18"/>
      <x:c r="R82"/>
      <x:c r="S82"/>
      <x:c r="T82" s="19"/>
    </x:row>
    <x:row r="83">
      <x:c r="A83" t="str">
        <x:v>RE</x:v>
      </x:c>
      <x:c r="B83" t="n">
        <x:v>2702</x:v>
      </x:c>
      <x:c r="C83" t="n">
        <x:v>20260848</x:v>
      </x:c>
      <x:c r="D83" t="n">
        <x:v>22</x:v>
      </x:c>
      <x:c r="E83" t="n">
        <x:v>30</x:v>
      </x:c>
      <x:c r="F83" t="str">
        <x:v>evolution</x:v>
      </x:c>
      <x:c r="G83" t="str">
        <x:v>{"normal":{"pairs":[{"branch_1":{"input_state":0,"op":"sep_conv_7x7"},"branch_2":{"input_state":0,"op":"sep_conv_7x7"}},{"branch_1":{"input_state":2,"op":"max_pool_3x3"},"branch_2":{"input_state":2,"op":"sep_conv_7x7"}},{"branch_1":{"input_state":0,"op":"identity"},"branch_2":{"input_state":3,"op":"identity"}},{"branch_1":{"input_state":1,"op":"max_pool_3x3"},"branch_2":{"input_state":0,"op":"sep_conv_7x7"}},{"branch_1":{"input_state":0,"op":"sep_conv_5x5"},"branch_2":{"input_state":5,"op":"sep_conv_3x3"}}]},"reduction":{"pairs":[{"branch_1":{"input_state":1,"op":"max_pool_3x3"},"branch_2":{"input_state":0,"op":"max_pool_3x3"}},{"branch_1":{"input_state":2,"op":"avg_pool_3x3"},"branch_2":{"input_state":1,"op":"sep_conv_7x7"}},{"branch_1":{"input_state":1,"op":"identity"},"branch_2":{"input_state":0,"op":"sep_conv_7x7"}},{"branch_1":{"input_state":4,"op":"avg_pool_3x3"},"branch_2":{"input_state":4,"op":"conv_1x7_7x1"}},{"branch_1":{"input_state":3,"op":"max_pool_3x3"},"branch_2":{"input_state":1,"op":"conv_1x7_7x1"}}]}}</x:v>
      </x:c>
      <x:c r="H83" t="str">
        <x:v>{"normal":{"pairs":[{"branch_1":{"input_state":0,"op":"sep_conv_7x7"},"branch_2":{"input_state":0,"op":"sep_conv_7x7"}},{"branch_1":{"input_state":2,"op":"max_pool_3x3"},"branch_2":{"input_state":2,"op":"sep_conv_7x7"}},{"branch_1":{"input_state":0,"op":"identity"},"branch_2":{"input_state":3,"op":"identity"}},{"branch_1":{"input_state":1,"op":"max_pool_3x3"},"branch_2":{"input_state":0,"op":"sep_conv_7x7"}},{"branch_1":{"input_state":0,"op":"sep_conv_5x5"},"branch_2":{"input_state":5,"op":"sep_conv_3x3"}}]},"reduction":{"pairs":[{"branch_1":{"input_state":1,"op":"max_pool_3x3"},"branch_2":{"input_state":0,"op":"max_pool_3x3"}},{"branch_1":{"input_state":2,"op":"identity"},"branch_2":{"input_state":1,"op":"sep_conv_7x7"}},{"branch_1":{"input_state":1,"op":"identity"},"branch_2":{"input_state":0,"op":"sep_conv_7x7"}},{"branch_1":{"input_state":4,"op":"avg_pool_3x3"},"branch_2":{"input_state":4,"op":"conv_1x7_7x1"}},{"branch_1":{"input_state":3,"op":"max_pool_3x3"},"branch_2":{"input_state":1,"op":"conv_1x7_7x1"}}]}}</x:v>
      </x:c>
      <x:c r="I83" t="str">
        <x:v>operation</x:v>
      </x:c>
      <x:c r="J83" s="15" t="n">
        <x:v>0.7902</x:v>
      </x:c>
      <x:c r="K83" s="15" t="n">
        <x:v>0.7902</x:v>
      </x:c>
      <x:c r="L83" s="15"/>
      <x:c r="M83" s="15" t="n">
        <x:v>0.7902</x:v>
      </x:c>
      <x:c r="N83" s="16" t="n">
        <x:v>952546</x:v>
      </x:c>
      <x:c r="O83" s="17" t="n">
        <x:v>143.11496619999525</x:v>
      </x:c>
      <x:c r="P83" t="str">
        <x:v>{"ages_in_evaluations":[19,18,17,16,15,14,13,12,11,10,9,8,7,6,5,4,3,2,1,0],"oldest_to_youngest_evaluation_indices":[3,4,5,6,7,8,9,10,11,12,13,14,15,16,17,18,19,20,21,22]}</x:v>
      </x:c>
      <x:c r="Q83" s="18"/>
      <x:c r="R83"/>
      <x:c r="S83"/>
      <x:c r="T83" s="19"/>
    </x:row>
    <x:row r="84">
      <x:c r="A84" t="str">
        <x:v>RE</x:v>
      </x:c>
      <x:c r="B84" t="n">
        <x:v>2702</x:v>
      </x:c>
      <x:c r="C84" t="n">
        <x:v>20260849</x:v>
      </x:c>
      <x:c r="D84" t="n">
        <x:v>23</x:v>
      </x:c>
      <x:c r="E84" t="n">
        <x:v>30</x:v>
      </x:c>
      <x:c r="F84" t="str">
        <x:v>evolution</x:v>
      </x:c>
      <x:c r="G84" t="str">
        <x:v>{"normal":{"pairs":[{"branch_1":{"input_state":0,"op":"identity"},"branch_2":{"input_state":0,"op":"max_pool_3x3"}},{"branch_1":{"input_state":0,"op":"dil_sep_conv_3x3"},"branch_2":{"input_state":1,"op":"dil_sep_conv_3x3"}},{"branch_1":{"input_state":1,"op":"identity"},"branch_2":{"input_state":3,"op":"identity"}},{"branch_1":{"input_state":2,"op":"sep_conv_7x7"},"branch_2":{"input_state":1,"op":"conv_1x7_7x1"}},{"branch_1":{"input_state":3,"op":"identity"},"branch_2":{"input_state":4,"op":"max_pool_3x3"}}]},"reduction":{"pairs":[{"branch_1":{"input_state":0,"op":"avg_pool_3x3"},"branch_2":{"input_state":0,"op":"conv_1x7_7x1"}},{"branch_1":{"input_state":2,"op":"sep_conv_3x3"},"branch_2":{"input_state":0,"op":"sep_conv_5x5"}},{"branch_1":{"input_state":2,"op":"dil_sep_conv_3x3"},"branch_2":{"input_state":2,"op":"dil_sep_conv_3x3"}},{"branch_1":{"input_state":2,"op":"identity"},"branch_2":{"input_state":3,"op":"avg_pool_3x3"}},{"branch_1":{"input_state":0,"op":"max_pool_3x3"},"branch_2":{"input_state":5,"op":"dil_sep_conv_3x3"}}]}}</x:v>
      </x:c>
      <x:c r="H84" t="str">
        <x:v>{"normal":{"pairs":[{"branch_1":{"input_state":1,"op":"identity"},"branch_2":{"input_state":0,"op":"max_pool_3x3"}},{"branch_1":{"input_state":0,"op":"dil_sep_conv_3x3"},"branch_2":{"input_state":1,"op":"dil_sep_conv_3x3"}},{"branch_1":{"input_state":1,"op":"identity"},"branch_2":{"input_state":3,"op":"identity"}},{"branch_1":{"input_state":2,"op":"sep_conv_7x7"},"branch_2":{"input_state":1,"op":"conv_1x7_7x1"}},{"branch_1":{"input_state":3,"op":"identity"},"branch_2":{"input_state":4,"op":"max_pool_3x3"}}]},"reduction":{"pairs":[{"branch_1":{"input_state":0,"op":"avg_pool_3x3"},"branch_2":{"input_state":0,"op":"conv_1x7_7x1"}},{"branch_1":{"input_state":2,"op":"sep_conv_3x3"},"branch_2":{"input_state":0,"op":"sep_conv_5x5"}},{"branch_1":{"input_state":2,"op":"dil_sep_conv_3x3"},"branch_2":{"input_state":2,"op":"dil_sep_conv_3x3"}},{"branch_1":{"input_state":2,"op":"identity"},"branch_2":{"input_state":3,"op":"avg_pool_3x3"}},{"branch_1":{"input_state":0,"op":"max_pool_3x3"},"branch_2":{"input_state":5,"op":"dil_sep_conv_3x3"}}]}}</x:v>
      </x:c>
      <x:c r="I84" t="str">
        <x:v>hidden_state</x:v>
      </x:c>
      <x:c r="J84" s="15" t="n">
        <x:v>0.7886</x:v>
      </x:c>
      <x:c r="K84" s="15" t="n">
        <x:v>0.7886</x:v>
      </x:c>
      <x:c r="L84" s="15"/>
      <x:c r="M84" s="15" t="n">
        <x:v>0.7886</x:v>
      </x:c>
      <x:c r="N84" s="16" t="n">
        <x:v>683014</x:v>
      </x:c>
      <x:c r="O84" s="17" t="n">
        <x:v>102.77497810000204</x:v>
      </x:c>
      <x:c r="P84" t="str">
        <x:v>{"ages_in_evaluations":[19,18,17,16,15,14,13,12,11,10,9,8,7,6,5,4,3,2,1,0],"oldest_to_youngest_evaluation_indices":[4,5,6,7,8,9,10,11,12,13,14,15,16,17,18,19,20,21,22,23]}</x:v>
      </x:c>
      <x:c r="Q84" s="18"/>
      <x:c r="R84"/>
      <x:c r="S84"/>
      <x:c r="T84" s="19"/>
    </x:row>
    <x:row r="85">
      <x:c r="A85" t="str">
        <x:v>RE</x:v>
      </x:c>
      <x:c r="B85" t="n">
        <x:v>2702</x:v>
      </x:c>
      <x:c r="C85" t="n">
        <x:v>20260850</x:v>
      </x:c>
      <x:c r="D85" t="n">
        <x:v>24</x:v>
      </x:c>
      <x:c r="E85" t="n">
        <x:v>30</x:v>
      </x:c>
      <x:c r="F85" t="str">
        <x:v>evolution</x:v>
      </x:c>
      <x:c r="G85" t="str">
        <x:v>{"normal":{"pairs":[{"branch_1":{"input_state":0,"op":"identity"},"branch_2":{"input_state":0,"op":"max_pool_3x3"}},{"branch_1":{"input_state":0,"op":"dil_sep_conv_3x3"},"branch_2":{"input_state":1,"op":"dil_sep_conv_3x3"}},{"branch_1":{"input_state":1,"op":"identity"},"branch_2":{"input_state":3,"op":"identity"}},{"branch_1":{"input_state":2,"op":"sep_conv_7x7"},"branch_2":{"input_state":1,"op":"conv_1x7_7x1"}},{"branch_1":{"input_state":3,"op":"identity"},"branch_2":{"input_state":4,"op":"max_pool_3x3"}}]},"reduction":{"pairs":[{"branch_1":{"input_state":0,"op":"avg_pool_3x3"},"branch_2":{"input_state":0,"op":"conv_1x7_7x1"}},{"branch_1":{"input_state":2,"op":"sep_conv_3x3"},"branch_2":{"input_state":0,"op":"sep_conv_5x5"}},{"branch_1":{"input_state":0,"op":"dil_sep_conv_3x3"},"branch_2":{"input_state":2,"op":"dil_sep_conv_3x3"}},{"branch_1":{"input_state":2,"op":"identity"},"branch_2":{"input_state":3,"op":"avg_pool_3x3"}},{"branch_1":{"input_state":0,"op":"max_pool_3x3"},"branch_2":{"input_state":5,"op":"dil_sep_conv_3x3"}}]}}</x:v>
      </x:c>
      <x:c r="H85" t="str">
        <x:v>{"normal":{"pairs":[{"branch_1":{"input_state":0,"op":"identity"},"branch_2":{"input_state":0,"op":"max_pool_3x3"}},{"branch_1":{"input_state":0,"op":"dil_sep_conv_3x3"},"branch_2":{"input_state":1,"op":"dil_sep_conv_3x3"}},{"branch_1":{"input_state":1,"op":"identity"},"branch_2":{"input_state":3,"op":"identity"}},{"branch_1":{"input_state":2,"op":"sep_conv_7x7"},"branch_2":{"input_state":1,"op":"conv_1x7_7x1"}},{"branch_1":{"input_state":3,"op":"identity"},"branch_2":{"input_state":4,"op":"max_pool_3x3"}}]},"reduction":{"pairs":[{"branch_1":{"input_state":0,"op":"avg_pool_3x3"},"branch_2":{"input_state":0,"op":"conv_1x7_7x1"}},{"branch_1":{"input_state":2,"op":"sep_conv_3x3"},"branch_2":{"input_state":0,"op":"sep_conv_5x5"}},{"branch_1":{"input_state":2,"op":"dil_sep_conv_3x3"},"branch_2":{"input_state":2,"op":"dil_sep_conv_3x3"}},{"branch_1":{"input_state":2,"op":"identity"},"branch_2":{"input_state":3,"op":"avg_pool_3x3"}},{"branch_1":{"input_state":0,"op":"max_pool_3x3"},"branch_2":{"input_state":5,"op":"dil_sep_conv_3x3"}}]}}</x:v>
      </x:c>
      <x:c r="I85" t="str">
        <x:v>hidden_state</x:v>
      </x:c>
      <x:c r="J85" s="15" t="n">
        <x:v>0.7976</x:v>
      </x:c>
      <x:c r="K85" s="15" t="n">
        <x:v>0.7976</x:v>
      </x:c>
      <x:c r="L85" s="15"/>
      <x:c r="M85" s="15" t="n">
        <x:v>0.7976</x:v>
      </x:c>
      <x:c r="N85" s="16" t="n">
        <x:v>683014</x:v>
      </x:c>
      <x:c r="O85" s="17" t="n">
        <x:v>104.24023640001542</x:v>
      </x:c>
      <x:c r="P85" t="str">
        <x:v>{"ages_in_evaluations":[19,18,17,16,15,14,13,12,11,10,9,8,7,6,5,4,3,2,1,0],"oldest_to_youngest_evaluation_indices":[5,6,7,8,9,10,11,12,13,14,15,16,17,18,19,20,21,22,23,24]}</x:v>
      </x:c>
      <x:c r="Q85" s="18"/>
      <x:c r="R85"/>
      <x:c r="S85"/>
      <x:c r="T85" s="19"/>
    </x:row>
    <x:row r="86">
      <x:c r="A86" t="str">
        <x:v>RE</x:v>
      </x:c>
      <x:c r="B86" t="n">
        <x:v>2702</x:v>
      </x:c>
      <x:c r="C86" t="n">
        <x:v>20260851</x:v>
      </x:c>
      <x:c r="D86" t="n">
        <x:v>25</x:v>
      </x:c>
      <x:c r="E86" t="n">
        <x:v>30</x:v>
      </x:c>
      <x:c r="F86" t="str">
        <x:v>evolution</x:v>
      </x:c>
      <x:c r="G86" t="str">
        <x:v>{"normal":{"pairs":[{"branch_1":{"input_state":0,"op":"identity"},"branch_2":{"input_state":0,"op":"max_pool_3x3"}},{"branch_1":{"input_state":0,"op":"dil_sep_conv_3x3"},"branch_2":{"input_state":1,"op":"dil_sep_conv_3x3"}},{"branch_1":{"input_state":1,"op":"identity"},"branch_2":{"input_state":3,"op":"identity"}},{"branch_1":{"input_state":2,"op":"sep_conv_7x7"},"branch_2":{"input_state":1,"op":"conv_1x7_7x1"}},{"branch_1":{"input_state":3,"op":"identity"},"branch_2":{"input_state":4,"op":"max_pool_3x3"}}]},"reduction":{"pairs":[{"branch_1":{"input_state":0,"op":"avg_pool_3x3"},"branch_2":{"input_state":0,"op":"conv_1x7_7x1"}},{"branch_1":{"input_state":2,"op":"sep_conv_3x3"},"branch_2":{"input_state":2,"op":"sep_conv_5x5"}},{"branch_1":{"input_state":0,"op":"dil_sep_conv_3x3"},"branch_2":{"input_state":2,"op":"dil_sep_conv_3x3"}},{"branch_1":{"input_state":2,"op":"identity"},"branch_2":{"input_state":3,"op":"avg_pool_3x3"}},{"branch_1":{"input_state":0,"op":"max_pool_3x3"},"branch_2":{"input_state":5,"op":"dil_sep_conv_3x3"}}]}}</x:v>
      </x:c>
      <x:c r="H86" t="str">
        <x:v>{"normal":{"pairs":[{"branch_1":{"input_state":0,"op":"identity"},"branch_2":{"input_state":0,"op":"max_pool_3x3"}},{"branch_1":{"input_state":0,"op":"dil_sep_conv_3x3"},"branch_2":{"input_state":1,"op":"dil_sep_conv_3x3"}},{"branch_1":{"input_state":1,"op":"identity"},"branch_2":{"input_state":3,"op":"identity"}},{"branch_1":{"input_state":2,"op":"sep_conv_7x7"},"branch_2":{"input_state":1,"op":"conv_1x7_7x1"}},{"branch_1":{"input_state":3,"op":"identity"},"branch_2":{"input_state":4,"op":"max_pool_3x3"}}]},"reduction":{"pairs":[{"branch_1":{"input_state":0,"op":"avg_pool_3x3"},"branch_2":{"input_state":0,"op":"conv_1x7_7x1"}},{"branch_1":{"input_state":2,"op":"sep_conv_3x3"},"branch_2":{"input_state":0,"op":"sep_conv_5x5"}},{"branch_1":{"input_state":0,"op":"dil_sep_conv_3x3"},"branch_2":{"input_state":2,"op":"dil_sep_conv_3x3"}},{"branch_1":{"input_state":2,"op":"identity"},"branch_2":{"input_state":3,"op":"avg_pool_3x3"}},{"branch_1":{"input_state":0,"op":"max_pool_3x3"},"branch_2":{"input_state":5,"op":"dil_sep_conv_3x3"}}]}}</x:v>
      </x:c>
      <x:c r="I86" t="str">
        <x:v>hidden_state</x:v>
      </x:c>
      <x:c r="J86" s="15" t="n">
        <x:v>0.8034</x:v>
      </x:c>
      <x:c r="K86" s="15" t="n">
        <x:v>0.8034</x:v>
      </x:c>
      <x:c r="L86" s="15"/>
      <x:c r="M86" s="15" t="n">
        <x:v>0.8034</x:v>
      </x:c>
      <x:c r="N86" s="16" t="n">
        <x:v>683014</x:v>
      </x:c>
      <x:c r="O86" s="17" t="n">
        <x:v>102.105656300002</x:v>
      </x:c>
      <x:c r="P86" t="str">
        <x:v>{"ages_in_evaluations":[19,18,17,16,15,14,13,12,11,10,9,8,7,6,5,4,3,2,1,0],"oldest_to_youngest_evaluation_indices":[6,7,8,9,10,11,12,13,14,15,16,17,18,19,20,21,22,23,24,25]}</x:v>
      </x:c>
      <x:c r="Q86" s="18"/>
      <x:c r="R86"/>
      <x:c r="S86"/>
      <x:c r="T86" s="19"/>
    </x:row>
    <x:row r="87">
      <x:c r="A87" t="str">
        <x:v>RE</x:v>
      </x:c>
      <x:c r="B87" t="n">
        <x:v>2702</x:v>
      </x:c>
      <x:c r="C87" t="n">
        <x:v>20260852</x:v>
      </x:c>
      <x:c r="D87" t="n">
        <x:v>26</x:v>
      </x:c>
      <x:c r="E87" t="n">
        <x:v>30</x:v>
      </x:c>
      <x:c r="F87" t="str">
        <x:v>evolution</x:v>
      </x:c>
      <x:c r="G87" t="str">
        <x:v>{"normal":{"pairs":[{"branch_1":{"input_state":0,"op":"identity"},"branch_2":{"input_state":0,"op":"max_pool_3x3"}},{"branch_1":{"input_state":0,"op":"dil_sep_conv_3x3"},"branch_2":{"input_state":1,"op":"dil_sep_conv_3x3"}},{"branch_1":{"input_state":1,"op":"identity"},"branch_2":{"input_state":3,"op":"identity"}},{"branch_1":{"input_state":2,"op":"sep_conv_7x7"},"branch_2":{"input_state":1,"op":"conv_1x7_7x1"}},{"branch_1":{"input_state":3,"op":"identity"},"branch_2":{"input_state":4,"op":"max_pool_3x3"}}]},"reduction":{"pairs":[{"branch_1":{"input_state":0,"op":"avg_pool_3x3"},"branch_2":{"input_state":0,"op":"conv_1x7_7x1"}},{"branch_1":{"input_state":2,"op":"sep_conv_3x3"},"branch_2":{"input_state":2,"op":"sep_conv_5x5"}},{"branch_1":{"input_state":0,"op":"dil_sep_conv_3x3"},"branch_2":{"input_state":2,"op":"dil_sep_conv_3x3"}},{"branch_1":{"input_state":2,"op":"identity"},"branch_2":{"input_state":3,"op":"avg_pool_3x3"}},{"branch_1":{"input_state":0,"op":"max_pool_3x3"},"branch_2":{"input_state":3,"op":"dil_sep_conv_3x3"}}]}}</x:v>
      </x:c>
      <x:c r="H87" t="str">
        <x:v>{"normal":{"pairs":[{"branch_1":{"input_state":0,"op":"identity"},"branch_2":{"input_state":0,"op":"max_pool_3x3"}},{"branch_1":{"input_state":0,"op":"dil_sep_conv_3x3"},"branch_2":{"input_state":1,"op":"dil_sep_conv_3x3"}},{"branch_1":{"input_state":1,"op":"identity"},"branch_2":{"input_state":3,"op":"identity"}},{"branch_1":{"input_state":2,"op":"sep_conv_7x7"},"branch_2":{"input_state":1,"op":"conv_1x7_7x1"}},{"branch_1":{"input_state":3,"op":"identity"},"branch_2":{"input_state":4,"op":"max_pool_3x3"}}]},"reduction":{"pairs":[{"branch_1":{"input_state":0,"op":"avg_pool_3x3"},"branch_2":{"input_state":0,"op":"conv_1x7_7x1"}},{"branch_1":{"input_state":2,"op":"sep_conv_3x3"},"branch_2":{"input_state":2,"op":"sep_conv_5x5"}},{"branch_1":{"input_state":0,"op":"dil_sep_conv_3x3"},"branch_2":{"input_state":2,"op":"dil_sep_conv_3x3"}},{"branch_1":{"input_state":2,"op":"identity"},"branch_2":{"input_state":3,"op":"avg_pool_3x3"}},{"branch_1":{"input_state":0,"op":"max_pool_3x3"},"branch_2":{"input_state":5,"op":"dil_sep_conv_3x3"}}]}}</x:v>
      </x:c>
      <x:c r="I87" t="str">
        <x:v>hidden_state</x:v>
      </x:c>
      <x:c r="J87" s="15" t="n">
        <x:v>0.7866</x:v>
      </x:c>
      <x:c r="K87" s="15" t="n">
        <x:v>0.7866</x:v>
      </x:c>
      <x:c r="L87" s="15"/>
      <x:c r="M87" s="15" t="n">
        <x:v>0.7866</x:v>
      </x:c>
      <x:c r="N87" s="16" t="n">
        <x:v>706054</x:v>
      </x:c>
      <x:c r="O87" s="17" t="n">
        <x:v>103.52369509998243</x:v>
      </x:c>
      <x:c r="P87" t="str">
        <x:v>{"ages_in_evaluations":[19,18,17,16,15,14,13,12,11,10,9,8,7,6,5,4,3,2,1,0],"oldest_to_youngest_evaluation_indices":[7,8,9,10,11,12,13,14,15,16,17,18,19,20,21,22,23,24,25,26]}</x:v>
      </x:c>
      <x:c r="Q87" s="18"/>
      <x:c r="R87"/>
      <x:c r="S87"/>
      <x:c r="T87" s="19"/>
    </x:row>
    <x:row r="88">
      <x:c r="A88" t="str">
        <x:v>RE</x:v>
      </x:c>
      <x:c r="B88" t="n">
        <x:v>2702</x:v>
      </x:c>
      <x:c r="C88" t="n">
        <x:v>20260853</x:v>
      </x:c>
      <x:c r="D88" t="n">
        <x:v>27</x:v>
      </x:c>
      <x:c r="E88" t="n">
        <x:v>30</x:v>
      </x:c>
      <x:c r="F88" t="str">
        <x:v>evolution</x:v>
      </x:c>
      <x:c r="G88" t="str">
        <x:v>{"normal":{"pairs":[{"branch_1":{"input_state":0,"op":"identity"},"branch_2":{"input_state":0,"op":"max_pool_3x3"}},{"branch_1":{"input_state":0,"op":"dil_sep_conv_3x3"},"branch_2":{"input_state":1,"op":"dil_sep_conv_3x3"}},{"branch_1":{"input_state":1,"op":"identity"},"branch_2":{"input_state":3,"op":"identity"}},{"branch_1":{"input_state":2,"op":"sep_conv_7x7"},"branch_2":{"input_state":1,"op":"conv_1x7_7x1"}},{"branch_1":{"input_state":3,"op":"identity"},"branch_2":{"input_state":4,"op":"max_pool_3x3"}}]},"reduction":{"pairs":[{"branch_1":{"input_state":0,"op":"avg_pool_3x3"},"branch_2":{"input_state":0,"op":"conv_1x7_7x1"}},{"branch_1":{"input_state":0,"op":"sep_conv_3x3"},"branch_2":{"input_state":2,"op":"sep_conv_5x5"}},{"branch_1":{"input_state":0,"op":"dil_sep_conv_3x3"},"branch_2":{"input_state":2,"op":"dil_sep_conv_3x3"}},{"branch_1":{"input_state":2,"op":"identity"},"branch_2":{"input_state":3,"op":"avg_pool_3x3"}},{"branch_1":{"input_state":0,"op":"max_pool_3x3"},"branch_2":{"input_state":5,"op":"dil_sep_conv_3x3"}}]}}</x:v>
      </x:c>
      <x:c r="H88" t="str">
        <x:v>{"normal":{"pairs":[{"branch_1":{"input_state":0,"op":"identity"},"branch_2":{"input_state":0,"op":"max_pool_3x3"}},{"branch_1":{"input_state":0,"op":"dil_sep_conv_3x3"},"branch_2":{"input_state":1,"op":"dil_sep_conv_3x3"}},{"branch_1":{"input_state":1,"op":"identity"},"branch_2":{"input_state":3,"op":"identity"}},{"branch_1":{"input_state":2,"op":"sep_conv_7x7"},"branch_2":{"input_state":1,"op":"conv_1x7_7x1"}},{"branch_1":{"input_state":3,"op":"identity"},"branch_2":{"input_state":4,"op":"max_pool_3x3"}}]},"reduction":{"pairs":[{"branch_1":{"input_state":0,"op":"avg_pool_3x3"},"branch_2":{"input_state":0,"op":"conv_1x7_7x1"}},{"branch_1":{"input_state":2,"op":"sep_conv_3x3"},"branch_2":{"input_state":2,"op":"sep_conv_5x5"}},{"branch_1":{"input_state":0,"op":"dil_sep_conv_3x3"},"branch_2":{"input_state":2,"op":"dil_sep_conv_3x3"}},{"branch_1":{"input_state":2,"op":"identity"},"branch_2":{"input_state":3,"op":"avg_pool_3x3"}},{"branch_1":{"input_state":0,"op":"max_pool_3x3"},"branch_2":{"input_state":5,"op":"dil_sep_conv_3x3"}}]}}</x:v>
      </x:c>
      <x:c r="I88" t="str">
        <x:v>hidden_state</x:v>
      </x:c>
      <x:c r="J88" s="15" t="n">
        <x:v>0.791</x:v>
      </x:c>
      <x:c r="K88" s="15" t="n">
        <x:v>0.791</x:v>
      </x:c>
      <x:c r="L88" s="15"/>
      <x:c r="M88" s="15" t="n">
        <x:v>0.791</x:v>
      </x:c>
      <x:c r="N88" s="16" t="n">
        <x:v>683014</x:v>
      </x:c>
      <x:c r="O88" s="17" t="n">
        <x:v>103.19893399998546</x:v>
      </x:c>
      <x:c r="P88" t="str">
        <x:v>{"ages_in_evaluations":[19,18,17,16,15,14,13,12,11,10,9,8,7,6,5,4,3,2,1,0],"oldest_to_youngest_evaluation_indices":[8,9,10,11,12,13,14,15,16,17,18,19,20,21,22,23,24,25,26,27]}</x:v>
      </x:c>
      <x:c r="Q88" s="18"/>
      <x:c r="R88"/>
      <x:c r="S88"/>
      <x:c r="T88" s="19"/>
    </x:row>
    <x:row r="89">
      <x:c r="A89" t="str">
        <x:v>RE</x:v>
      </x:c>
      <x:c r="B89" t="n">
        <x:v>2702</x:v>
      </x:c>
      <x:c r="C89" t="n">
        <x:v>20260854</x:v>
      </x:c>
      <x:c r="D89" t="n">
        <x:v>28</x:v>
      </x:c>
      <x:c r="E89" t="n">
        <x:v>30</x:v>
      </x:c>
      <x:c r="F89" t="str">
        <x:v>evolution</x:v>
      </x:c>
      <x:c r="G89" t="str">
        <x:v>{"normal":{"pairs":[{"branch_1":{"input_state":0,"op":"sep_conv_5x5"},"branch_2":{"input_state":0,"op":"max_pool_3x3"}},{"branch_1":{"input_state":2,"op":"conv_1x7_7x1"},"branch_2":{"input_state":2,"op":"sep_conv_5x5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0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H89" t="str">
        <x:v>{"normal":{"pairs":[{"branch_1":{"input_state":0,"op":"sep_conv_5x5"},"branch_2":{"input_state":0,"op":"max_pool_3x3"}},{"branch_1":{"input_state":2,"op":"conv_1x7_7x1"},"branch_2":{"input_state":2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0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I89" t="str">
        <x:v>operation</x:v>
      </x:c>
      <x:c r="J89" s="15" t="n">
        <x:v>0.8</x:v>
      </x:c>
      <x:c r="K89" s="15" t="n">
        <x:v>0.8</x:v>
      </x:c>
      <x:c r="L89" s="15"/>
      <x:c r="M89" s="15" t="n">
        <x:v>0.8</x:v>
      </x:c>
      <x:c r="N89" s="16" t="n">
        <x:v>798454</x:v>
      </x:c>
      <x:c r="O89" s="17" t="n">
        <x:v>115.24923889999629</x:v>
      </x:c>
      <x:c r="P89" t="str">
        <x:v>{"ages_in_evaluations":[19,18,17,16,15,14,13,12,11,10,9,8,7,6,5,4,3,2,1,0],"oldest_to_youngest_evaluation_indices":[9,10,11,12,13,14,15,16,17,18,19,20,21,22,23,24,25,26,27,28]}</x:v>
      </x:c>
      <x:c r="Q89" s="18"/>
      <x:c r="R89"/>
      <x:c r="S89"/>
      <x:c r="T89" s="19"/>
    </x:row>
    <x:row r="90">
      <x:c r="A90" t="str">
        <x:v>RE</x:v>
      </x:c>
      <x:c r="B90" t="n">
        <x:v>2702</x:v>
      </x:c>
      <x:c r="C90" t="n">
        <x:v>20260855</x:v>
      </x:c>
      <x:c r="D90" t="n">
        <x:v>29</x:v>
      </x:c>
      <x:c r="E90" t="n">
        <x:v>30</x:v>
      </x:c>
      <x:c r="F90" t="str">
        <x:v>evolution</x:v>
      </x:c>
      <x:c r="G90" t="str">
        <x:v>{"normal":{"pairs":[{"branch_1":{"input_state":0,"op":"identity"},"branch_2":{"input_state":0,"op":"max_pool_3x3"}},{"branch_1":{"input_state":0,"op":"dil_sep_conv_3x3"},"branch_2":{"input_state":1,"op":"dil_sep_conv_3x3"}},{"branch_1":{"input_state":1,"op":"identity"},"branch_2":{"input_state":3,"op":"conv_1x7_7x1"}},{"branch_1":{"input_state":2,"op":"sep_conv_7x7"},"branch_2":{"input_state":1,"op":"conv_1x7_7x1"}},{"branch_1":{"input_state":3,"op":"identity"},"branch_2":{"input_state":4,"op":"max_pool_3x3"}}]},"reduction":{"pairs":[{"branch_1":{"input_state":0,"op":"avg_pool_3x3"},"branch_2":{"input_state":0,"op":"conv_1x7_7x1"}},{"branch_1":{"input_state":2,"op":"sep_conv_3x3"},"branch_2":{"input_state":2,"op":"sep_conv_5x5"}},{"branch_1":{"input_state":0,"op":"dil_sep_conv_3x3"},"branch_2":{"input_state":2,"op":"dil_sep_conv_3x3"}},{"branch_1":{"input_state":2,"op":"identity"},"branch_2":{"input_state":3,"op":"avg_pool_3x3"}},{"branch_1":{"input_state":0,"op":"max_pool_3x3"},"branch_2":{"input_state":5,"op":"dil_sep_conv_3x3"}}]}}</x:v>
      </x:c>
      <x:c r="H90" t="str">
        <x:v>{"normal":{"pairs":[{"branch_1":{"input_state":0,"op":"identity"},"branch_2":{"input_state":0,"op":"max_pool_3x3"}},{"branch_1":{"input_state":0,"op":"dil_sep_conv_3x3"},"branch_2":{"input_state":1,"op":"dil_sep_conv_3x3"}},{"branch_1":{"input_state":1,"op":"identity"},"branch_2":{"input_state":3,"op":"identity"}},{"branch_1":{"input_state":2,"op":"sep_conv_7x7"},"branch_2":{"input_state":1,"op":"conv_1x7_7x1"}},{"branch_1":{"input_state":3,"op":"identity"},"branch_2":{"input_state":4,"op":"max_pool_3x3"}}]},"reduction":{"pairs":[{"branch_1":{"input_state":0,"op":"avg_pool_3x3"},"branch_2":{"input_state":0,"op":"conv_1x7_7x1"}},{"branch_1":{"input_state":2,"op":"sep_conv_3x3"},"branch_2":{"input_state":2,"op":"sep_conv_5x5"}},{"branch_1":{"input_state":0,"op":"dil_sep_conv_3x3"},"branch_2":{"input_state":2,"op":"dil_sep_conv_3x3"}},{"branch_1":{"input_state":2,"op":"identity"},"branch_2":{"input_state":3,"op":"avg_pool_3x3"}},{"branch_1":{"input_state":0,"op":"max_pool_3x3"},"branch_2":{"input_state":5,"op":"dil_sep_conv_3x3"}}]}}</x:v>
      </x:c>
      <x:c r="I90" t="str">
        <x:v>operation</x:v>
      </x:c>
      <x:c r="J90" s="15" t="n">
        <x:v>0.7478</x:v>
      </x:c>
      <x:c r="K90" s="15" t="n">
        <x:v>0.7478</x:v>
      </x:c>
      <x:c r="L90" s="15"/>
      <x:c r="M90" s="15" t="n">
        <x:v>0.7478</x:v>
      </x:c>
      <x:c r="N90" s="16" t="n">
        <x:v>734674</x:v>
      </x:c>
      <x:c r="O90" s="17" t="n">
        <x:v>119.3073682000104</x:v>
      </x:c>
      <x:c r="P90" t="str">
        <x:v>{"ages_in_evaluations":[19,18,17,16,15,14,13,12,11,10,9,8,7,6,5,4,3,2,1,0],"oldest_to_youngest_evaluation_indices":[10,11,12,13,14,15,16,17,18,19,20,21,22,23,24,25,26,27,28,29]}</x:v>
      </x:c>
      <x:c r="Q90" s="18"/>
      <x:c r="R90"/>
      <x:c r="S90"/>
      <x:c r="T90" s="19"/>
    </x:row>
    <x:row r="91">
      <x:c r="A91" t="str">
        <x:v>RE</x:v>
      </x:c>
      <x:c r="B91" t="n">
        <x:v>2702</x:v>
      </x:c>
      <x:c r="C91" t="n">
        <x:v>20260856</x:v>
      </x:c>
      <x:c r="D91" t="n">
        <x:v>30</x:v>
      </x:c>
      <x:c r="E91" t="n">
        <x:v>30</x:v>
      </x:c>
      <x:c r="F91" t="str">
        <x:v>evolution</x:v>
      </x:c>
      <x:c r="G91" t="str">
        <x:v>{"normal":{"pairs":[{"branch_1":{"input_state":0,"op":"sep_conv_5x5"},"branch_2":{"input_state":0,"op":"max_pool_3x3"}},{"branch_1":{"input_state":2,"op":"conv_1x7_7x1"},"branch_2":{"input_state":2,"op":"max_pool_3x3"}},{"branch_1":{"input_state":3,"op":"sep_conv_3x3"},"branch_2":{"input_state":2,"op":"max_pool_3x3"}},{"branch_1":{"input_state":3,"op":"dil_sep_conv_3x3"},"branch_2":{"input_state":0,"op":"max_pool_3x3"}},{"branch_1":{"input_state":5,"op":"avg_pool_3x3"},"branch_2":{"input_state":3,"op":"avg_pool_3x3"}}]},"reduction":{"pairs":[{"branch_1":{"input_state":0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H91" t="str">
        <x:v>{"normal":{"pairs":[{"branch_1":{"input_state":0,"op":"sep_conv_5x5"},"branch_2":{"input_state":0,"op":"max_pool_3x3"}},{"branch_1":{"input_state":2,"op":"conv_1x7_7x1"},"branch_2":{"input_state":2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0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I91" t="str">
        <x:v>operation</x:v>
      </x:c>
      <x:c r="J91" s="15" t="n">
        <x:v>0.813</x:v>
      </x:c>
      <x:c r="K91" s="15" t="n">
        <x:v>0.813</x:v>
      </x:c>
      <x:c r="L91" s="15"/>
      <x:c r="M91" s="15" t="n">
        <x:v>0.813</x:v>
      </x:c>
      <x:c r="N91" s="16" t="n">
        <x:v>698662</x:v>
      </x:c>
      <x:c r="O91" s="17" t="n">
        <x:v>105.61152030000812</x:v>
      </x:c>
      <x:c r="P91" t="str">
        <x:v>{"ages_in_evaluations":[19,18,17,16,15,14,13,12,11,10,9,8,7,6,5,4,3,2,1,0],"oldest_to_youngest_evaluation_indices":[11,12,13,14,15,16,17,18,19,20,21,22,23,24,25,26,27,28,29,30]}</x:v>
      </x:c>
      <x:c r="Q91" s="18"/>
      <x:c r="R91"/>
      <x:c r="S91"/>
      <x:c r="T91" s="19"/>
    </x:row>
    <x:row r="92">
      <x:c r="A92" t="str">
        <x:v>SA-RE</x:v>
      </x:c>
      <x:c r="B92" t="n">
        <x:v>2702</x:v>
      </x:c>
      <x:c r="C92" t="n">
        <x:v>20260827</x:v>
      </x:c>
      <x:c r="D92" t="n">
        <x:v>1</x:v>
      </x:c>
      <x:c r="E92" t="n">
        <x:v>30</x:v>
      </x:c>
      <x:c r="F92" t="str">
        <x:v>initialization</x:v>
      </x:c>
      <x:c r="G92" t="str">
        <x:v>{"normal":{"pairs":[{"branch_1":{"input_state":0,"op":"dil_sep_conv_3x3"},"branch_2":{"input_state":1,"op":"max_pool_3x3"}},{"branch_1":{"input_state":1,"op":"sep_conv_3x3"},"branch_2":{"input_state":1,"op":"sep_conv_3x3"}},{"branch_1":{"input_state":3,"op":"avg_pool_3x3"},"branch_2":{"input_state":3,"op":"sep_conv_3x3"}},{"branch_1":{"input_state":3,"op":"sep_conv_3x3"},"branch_2":{"input_state":1,"op":"sep_conv_7x7"}},{"branch_1":{"input_state":3,"op":"sep_conv_3x3"},"branch_2":{"input_state":3,"op":"sep_conv_5x5"}}]},"reduction":{"pairs":[{"branch_1":{"input_state":0,"op":"sep_conv_7x7"},"branch_2":{"input_state":1,"op":"conv_1x7_7x1"}},{"branch_1":{"input_state":2,"op":"sep_conv_5x5"},"branch_2":{"input_state":1,"op":"sep_conv_5x5"}},{"branch_1":{"input_state":1,"op":"sep_conv_5x5"},"branch_2":{"input_state":1,"op":"avg_pool_3x3"}},{"branch_1":{"input_state":0,"op":"avg_pool_3x3"},"branch_2":{"input_state":1,"op":"max_pool_3x3"}},{"branch_1":{"input_state":5,"op":"conv_1x7_7x1"},"branch_2":{"input_state":5,"op":"identity"}}]}}</x:v>
      </x:c>
      <x:c r="H92" t="str"/>
      <x:c r="I92" t="str">
        <x:v>random_initialization</x:v>
      </x:c>
      <x:c r="J92" s="15" t="n">
        <x:v>0.761</x:v>
      </x:c>
      <x:c r="K92" s="15" t="n">
        <x:v>0.761</x:v>
      </x:c>
      <x:c r="L92" s="15" t="n">
        <x:v>0.761</x:v>
      </x:c>
      <x:c r="M92" s="15" t="n">
        <x:v>0.761</x:v>
      </x:c>
      <x:c r="N92" s="16" t="n">
        <x:v>1185730</x:v>
      </x:c>
      <x:c r="O92" s="17" t="n">
        <x:v>163.58986440001172</x:v>
      </x:c>
      <x:c r="P92" t="str">
        <x:v>{"ages_in_evaluations":[0],"oldest_to_youngest_evaluation_indices":[1]}</x:v>
      </x:c>
      <x:c r="Q92" s="18"/>
      <x:c r="R92"/>
      <x:c r="S92"/>
      <x:c r="T92" s="19"/>
    </x:row>
    <x:row r="93">
      <x:c r="A93" t="str">
        <x:v>SA-RE</x:v>
      </x:c>
      <x:c r="B93" t="n">
        <x:v>2702</x:v>
      </x:c>
      <x:c r="C93" t="n">
        <x:v>20260828</x:v>
      </x:c>
      <x:c r="D93" t="n">
        <x:v>2</x:v>
      </x:c>
      <x:c r="E93" t="n">
        <x:v>30</x:v>
      </x:c>
      <x:c r="F93" t="str">
        <x:v>initialization</x:v>
      </x:c>
      <x:c r="G93" t="str">
        <x:v>{"normal":{"pairs":[{"branch_1":{"input_state":0,"op":"identity"},"branch_2":{"input_state":1,"op":"sep_conv_3x3"}},{"branch_1":{"input_state":0,"op":"identity"},"branch_2":{"input_state":2,"op":"sep_conv_7x7"}},{"branch_1":{"input_state":2,"op":"avg_pool_3x3"},"branch_2":{"input_state":2,"op":"max_pool_3x3"}},{"branch_1":{"input_state":1,"op":"sep_conv_5x5"},"branch_2":{"input_state":3,"op":"dil_sep_conv_3x3"}},{"branch_1":{"input_state":1,"op":"sep_conv_3x3"},"branch_2":{"input_state":5,"op":"sep_conv_5x5"}}]},"reduction":{"pairs":[{"branch_1":{"input_state":1,"op":"avg_pool_3x3"},"branch_2":{"input_state":1,"op":"sep_conv_7x7"}},{"branch_1":{"input_state":2,"op":"sep_conv_3x3"},"branch_2":{"input_state":1,"op":"sep_conv_5x5"}},{"branch_1":{"input_state":1,"op":"sep_conv_5x5"},"branch_2":{"input_state":2,"op":"max_pool_3x3"}},{"branch_1":{"input_state":3,"op":"sep_conv_7x7"},"branch_2":{"input_state":0,"op":"sep_conv_7x7"}},{"branch_1":{"input_state":1,"op":"sep_conv_5x5"},"branch_2":{"input_state":5,"op":"conv_1x7_7x1"}}]}}</x:v>
      </x:c>
      <x:c r="H93" t="str"/>
      <x:c r="I93" t="str">
        <x:v>random_initialization</x:v>
      </x:c>
      <x:c r="J93" s="15" t="n">
        <x:v>0.8044</x:v>
      </x:c>
      <x:c r="K93" s="15" t="n">
        <x:v>0.8044</x:v>
      </x:c>
      <x:c r="L93" s="15" t="n">
        <x:v>0.8044</x:v>
      </x:c>
      <x:c r="M93" s="15" t="n">
        <x:v>0.8044</x:v>
      </x:c>
      <x:c r="N93" s="16" t="n">
        <x:v>975946</x:v>
      </x:c>
      <x:c r="O93" s="17" t="n">
        <x:v>144.80505910000647</x:v>
      </x:c>
      <x:c r="P93" t="str">
        <x:v>{"ages_in_evaluations":[1,0],"oldest_to_youngest_evaluation_indices":[1,2]}</x:v>
      </x:c>
      <x:c r="Q93" s="18"/>
      <x:c r="R93"/>
      <x:c r="S93"/>
      <x:c r="T93" s="19"/>
    </x:row>
    <x:row r="94">
      <x:c r="A94" t="str">
        <x:v>SA-RE</x:v>
      </x:c>
      <x:c r="B94" t="n">
        <x:v>2702</x:v>
      </x:c>
      <x:c r="C94" t="n">
        <x:v>20260829</x:v>
      </x:c>
      <x:c r="D94" t="n">
        <x:v>3</x:v>
      </x:c>
      <x:c r="E94" t="n">
        <x:v>30</x:v>
      </x:c>
      <x:c r="F94" t="str">
        <x:v>initialization</x:v>
      </x:c>
      <x:c r="G94" t="str">
        <x:v>{"normal":{"pairs":[{"branch_1":{"input_state":1,"op":"sep_conv_3x3"},"branch_2":{"input_state":1,"op":"dil_sep_conv_3x3"}},{"branch_1":{"input_state":0,"op":"identity"},"branch_2":{"input_state":1,"op":"sep_conv_7x7"}},{"branch_1":{"input_state":3,"op":"max_pool_3x3"},"branch_2":{"input_state":1,"op":"dil_sep_conv_3x3"}},{"branch_1":{"input_state":0,"op":"sep_conv_7x7"},"branch_2":{"input_state":0,"op":"dil_sep_conv_3x3"}},{"branch_1":{"input_state":4,"op":"dil_sep_conv_3x3"},"branch_2":{"input_state":2,"op":"max_pool_3x3"}}]},"reduction":{"pairs":[{"branch_1":{"input_state":0,"op":"sep_conv_7x7"},"branch_2":{"input_state":1,"op":"avg_pool_3x3"}},{"branch_1":{"input_state":0,"op":"max_pool_3x3"},"branch_2":{"input_state":2,"op":"identity"}},{"branch_1":{"input_state":0,"op":"identity"},"branch_2":{"input_state":0,"op":"identity"}},{"branch_1":{"input_state":0,"op":"dil_sep_conv_3x3"},"branch_2":{"input_state":1,"op":"conv_1x7_7x1"}},{"branch_1":{"input_state":4,"op":"conv_1x7_7x1"},"branch_2":{"input_state":2,"op":"sep_conv_5x5"}}]}}</x:v>
      </x:c>
      <x:c r="H94" t="str"/>
      <x:c r="I94" t="str">
        <x:v>random_initialization</x:v>
      </x:c>
      <x:c r="J94" s="15" t="n">
        <x:v>0.7618</x:v>
      </x:c>
      <x:c r="K94" s="15" t="n">
        <x:v>0.7618</x:v>
      </x:c>
      <x:c r="L94" s="15" t="n">
        <x:v>0.7618</x:v>
      </x:c>
      <x:c r="M94" s="15" t="n">
        <x:v>0.7618</x:v>
      </x:c>
      <x:c r="N94" s="16" t="n">
        <x:v>993586</x:v>
      </x:c>
      <x:c r="O94" s="17" t="n">
        <x:v>150.8766834999842</x:v>
      </x:c>
      <x:c r="P94" t="str">
        <x:v>{"ages_in_evaluations":[2,1,0],"oldest_to_youngest_evaluation_indices":[1,2,3]}</x:v>
      </x:c>
      <x:c r="Q94" s="18"/>
      <x:c r="R94"/>
      <x:c r="S94"/>
      <x:c r="T94" s="19"/>
    </x:row>
    <x:row r="95">
      <x:c r="A95" t="str">
        <x:v>SA-RE</x:v>
      </x:c>
      <x:c r="B95" t="n">
        <x:v>2702</x:v>
      </x:c>
      <x:c r="C95" t="n">
        <x:v>20260830</x:v>
      </x:c>
      <x:c r="D95" t="n">
        <x:v>4</x:v>
      </x:c>
      <x:c r="E95" t="n">
        <x:v>30</x:v>
      </x:c>
      <x:c r="F95" t="str">
        <x:v>initialization</x:v>
      </x:c>
      <x:c r="G95" t="str">
        <x:v>{"normal":{"pairs":[{"branch_1":{"input_state":1,"op":"conv_1x7_7x1"},"branch_2":{"input_state":1,"op":"conv_1x7_7x1"}},{"branch_1":{"input_state":1,"op":"avg_pool_3x3"},"branch_2":{"input_state":0,"op":"max_pool_3x3"}},{"branch_1":{"input_state":3,"op":"identity"},"branch_2":{"input_state":0,"op":"max_pool_3x3"}},{"branch_1":{"input_state":3,"op":"sep_conv_7x7"},"branch_2":{"input_state":4,"op":"max_pool_3x3"}},{"branch_1":{"input_state":3,"op":"avg_pool_3x3"},"branch_2":{"input_state":3,"op":"conv_1x7_7x1"}}]},"reduction":{"pairs":[{"branch_1":{"input_state":0,"op":"dil_sep_conv_3x3"},"branch_2":{"input_state":1,"op":"sep_conv_5x5"}},{"branch_1":{"input_state":0,"op":"max_pool_3x3"},"branch_2":{"input_state":2,"op":"identity"}},{"branch_1":{"input_state":2,"op":"sep_conv_3x3"},"branch_2":{"input_state":2,"op":"sep_conv_7x7"}},{"branch_1":{"input_state":4,"op":"conv_1x7_7x1"},"branch_2":{"input_state":4,"op":"sep_conv_3x3"}},{"branch_1":{"input_state":1,"op":"conv_1x7_7x1"},"branch_2":{"input_state":4,"op":"sep_conv_5x5"}}]}}</x:v>
      </x:c>
      <x:c r="H95" t="str"/>
      <x:c r="I95" t="str">
        <x:v>random_initialization</x:v>
      </x:c>
      <x:c r="J95" s="15" t="n">
        <x:v>0.802</x:v>
      </x:c>
      <x:c r="K95" s="15" t="n">
        <x:v>0.802</x:v>
      </x:c>
      <x:c r="L95" s="15" t="n">
        <x:v>0.802</x:v>
      </x:c>
      <x:c r="M95" s="15" t="n">
        <x:v>0.802</x:v>
      </x:c>
      <x:c r="N95" s="16" t="n">
        <x:v>732214</x:v>
      </x:c>
      <x:c r="O95" s="17" t="n">
        <x:v>140.54333129999577</x:v>
      </x:c>
      <x:c r="P95" t="str">
        <x:v>{"ages_in_evaluations":[3,2,1,0],"oldest_to_youngest_evaluation_indices":[1,2,3,4]}</x:v>
      </x:c>
      <x:c r="Q95" s="18"/>
      <x:c r="R95"/>
      <x:c r="S95"/>
      <x:c r="T95" s="19"/>
    </x:row>
    <x:row r="96">
      <x:c r="A96" t="str">
        <x:v>SA-RE</x:v>
      </x:c>
      <x:c r="B96" t="n">
        <x:v>2702</x:v>
      </x:c>
      <x:c r="C96" t="n">
        <x:v>20260831</x:v>
      </x:c>
      <x:c r="D96" t="n">
        <x:v>5</x:v>
      </x:c>
      <x:c r="E96" t="n">
        <x:v>30</x:v>
      </x:c>
      <x:c r="F96" t="str">
        <x:v>initialization</x:v>
      </x:c>
      <x:c r="G96" t="str">
        <x:v>{"normal":{"pairs":[{"branch_1":{"input_state":1,"op":"sep_conv_5x5"},"branch_2":{"input_state":0,"op":"avg_pool_3x3"}},{"branch_1":{"input_state":2,"op":"dil_sep_conv_3x3"},"branch_2":{"input_state":1,"op":"sep_conv_7x7"}},{"branch_1":{"input_state":1,"op":"sep_conv_7x7"},"branch_2":{"input_state":2,"op":"max_pool_3x3"}},{"branch_1":{"input_state":2,"op":"sep_conv_3x3"},"branch_2":{"input_state":1,"op":"sep_conv_7x7"}},{"branch_1":{"input_state":2,"op":"sep_conv_3x3"},"branch_2":{"input_state":5,"op":"sep_conv_7x7"}}]},"reduction":{"pairs":[{"branch_1":{"input_state":0,"op":"conv_1x7_7x1"},"branch_2":{"input_state":1,"op":"max_pool_3x3"}},{"branch_1":{"input_state":1,"op":"sep_conv_5x5"},"branch_2":{"input_state":1,"op":"dil_sep_conv_3x3"}},{"branch_1":{"input_state":1,"op":"sep_conv_5x5"},"branch_2":{"input_state":1,"op":"dil_sep_conv_3x3"}},{"branch_1":{"input_state":1,"op":"dil_sep_conv_3x3"},"branch_2":{"input_state":1,"op":"dil_sep_conv_3x3"}},{"branch_1":{"input_state":0,"op":"max_pool_3x3"},"branch_2":{"input_state":0,"op":"identity"}}]}}</x:v>
      </x:c>
      <x:c r="H96" t="str"/>
      <x:c r="I96" t="str">
        <x:v>random_initialization</x:v>
      </x:c>
      <x:c r="J96" s="15" t="n">
        <x:v>0.7768</x:v>
      </x:c>
      <x:c r="K96" s="15" t="n">
        <x:v>0.7768</x:v>
      </x:c>
      <x:c r="L96" s="15" t="n">
        <x:v>0.7768</x:v>
      </x:c>
      <x:c r="M96" s="15" t="n">
        <x:v>0.7768</x:v>
      </x:c>
      <x:c r="N96" s="16" t="n">
        <x:v>1329994</x:v>
      </x:c>
      <x:c r="O96" s="17" t="n">
        <x:v>183.0296559999988</x:v>
      </x:c>
      <x:c r="P96" t="str">
        <x:v>{"ages_in_evaluations":[4,3,2,1,0],"oldest_to_youngest_evaluation_indices":[1,2,3,4,5]}</x:v>
      </x:c>
      <x:c r="Q96" s="18"/>
      <x:c r="R96"/>
      <x:c r="S96"/>
      <x:c r="T96" s="19"/>
    </x:row>
    <x:row r="97">
      <x:c r="A97" t="str">
        <x:v>SA-RE</x:v>
      </x:c>
      <x:c r="B97" t="n">
        <x:v>2702</x:v>
      </x:c>
      <x:c r="C97" t="n">
        <x:v>20260832</x:v>
      </x:c>
      <x:c r="D97" t="n">
        <x:v>6</x:v>
      </x:c>
      <x:c r="E97" t="n">
        <x:v>30</x:v>
      </x:c>
      <x:c r="F97" t="str">
        <x:v>initialization</x:v>
      </x:c>
      <x:c r="G97" t="str">
        <x:v>{"normal":{"pairs":[{"branch_1":{"input_state":1,"op":"sep_conv_7x7"},"branch_2":{"input_state":0,"op":"conv_1x7_7x1"}},{"branch_1":{"input_state":2,"op":"dil_sep_conv_3x3"},"branch_2":{"input_state":0,"op":"identity"}},{"branch_1":{"input_state":3,"op":"conv_1x7_7x1"},"branch_2":{"input_state":0,"op":"dil_sep_conv_3x3"}},{"branch_1":{"input_state":0,"op":"avg_pool_3x3"},"branch_2":{"input_state":3,"op":"conv_1x7_7x1"}},{"branch_1":{"input_state":0,"op":"sep_conv_5x5"},"branch_2":{"input_state":5,"op":"conv_1x7_7x1"}}]},"reduction":{"pairs":[{"branch_1":{"input_state":0,"op":"sep_conv_7x7"},"branch_2":{"input_state":1,"op":"sep_conv_5x5"}},{"branch_1":{"input_state":2,"op":"identity"},"branch_2":{"input_state":0,"op":"dil_sep_conv_3x3"}},{"branch_1":{"input_state":0,"op":"sep_conv_3x3"},"branch_2":{"input_state":2,"op":"identity"}},{"branch_1":{"input_state":2,"op":"conv_1x7_7x1"},"branch_2":{"input_state":4,"op":"dil_sep_conv_3x3"}},{"branch_1":{"input_state":4,"op":"avg_pool_3x3"},"branch_2":{"input_state":2,"op":"identity"}}]}}</x:v>
      </x:c>
      <x:c r="H97" t="str"/>
      <x:c r="I97" t="str">
        <x:v>random_initialization</x:v>
      </x:c>
      <x:c r="J97" s="15" t="n">
        <x:v>0.6414</x:v>
      </x:c>
      <x:c r="K97" s="15" t="n">
        <x:v>0.6414</x:v>
      </x:c>
      <x:c r="L97" s="15" t="n">
        <x:v>0.6414</x:v>
      </x:c>
      <x:c r="M97" s="15" t="n">
        <x:v>0.6414</x:v>
      </x:c>
      <x:c r="N97" s="16" t="n">
        <x:v>937498</x:v>
      </x:c>
      <x:c r="O97" s="17" t="n">
        <x:v>180.94822200000635</x:v>
      </x:c>
      <x:c r="P97" t="str">
        <x:v>{"ages_in_evaluations":[5,4,3,2,1,0],"oldest_to_youngest_evaluation_indices":[1,2,3,4,5,6]}</x:v>
      </x:c>
      <x:c r="Q97" s="18"/>
      <x:c r="R97"/>
      <x:c r="S97"/>
      <x:c r="T97" s="19"/>
    </x:row>
    <x:row r="98">
      <x:c r="A98" t="str">
        <x:v>SA-RE</x:v>
      </x:c>
      <x:c r="B98" t="n">
        <x:v>2702</x:v>
      </x:c>
      <x:c r="C98" t="n">
        <x:v>20260833</x:v>
      </x:c>
      <x:c r="D98" t="n">
        <x:v>7</x:v>
      </x:c>
      <x:c r="E98" t="n">
        <x:v>30</x:v>
      </x:c>
      <x:c r="F98" t="str">
        <x:v>initialization</x:v>
      </x:c>
      <x:c r="G98" t="str">
        <x:v>{"normal":{"pairs":[{"branch_1":{"input_state":0,"op":"sep_conv_3x3"},"branch_2":{"input_state":0,"op":"dil_sep_conv_3x3"}},{"branch_1":{"input_state":2,"op":"sep_conv_5x5"},"branch_2":{"input_state":2,"op":"sep_conv_7x7"}},{"branch_1":{"input_state":1,"op":"max_pool_3x3"},"branch_2":{"input_state":3,"op":"avg_pool_3x3"}},{"branch_1":{"input_state":2,"op":"avg_pool_3x3"},"branch_2":{"input_state":2,"op":"sep_conv_7x7"}},{"branch_1":{"input_state":1,"op":"avg_pool_3x3"},"branch_2":{"input_state":5,"op":"dil_sep_conv_3x3"}}]},"reduction":{"pairs":[{"branch_1":{"input_state":1,"op":"identity"},"branch_2":{"input_state":1,"op":"sep_conv_5x5"}},{"branch_1":{"input_state":0,"op":"conv_1x7_7x1"},"branch_2":{"input_state":2,"op":"sep_conv_5x5"}},{"branch_1":{"input_state":2,"op":"conv_1x7_7x1"},"branch_2":{"input_state":1,"op":"max_pool_3x3"}},{"branch_1":{"input_state":3,"op":"sep_conv_7x7"},"branch_2":{"input_state":4,"op":"max_pool_3x3"}},{"branch_1":{"input_state":2,"op":"sep_conv_7x7"},"branch_2":{"input_state":0,"op":"sep_conv_3x3"}}]}}</x:v>
      </x:c>
      <x:c r="H98" t="str"/>
      <x:c r="I98" t="str">
        <x:v>random_initialization</x:v>
      </x:c>
      <x:c r="J98" s="15" t="n">
        <x:v>0.78</x:v>
      </x:c>
      <x:c r="K98" s="15" t="n">
        <x:v>0.78</x:v>
      </x:c>
      <x:c r="L98" s="15" t="n">
        <x:v>0.78</x:v>
      </x:c>
      <x:c r="M98" s="15" t="n">
        <x:v>0.78</x:v>
      </x:c>
      <x:c r="N98" s="16" t="n">
        <x:v>959746</x:v>
      </x:c>
      <x:c r="O98" s="17" t="n">
        <x:v>148.71887620000052</x:v>
      </x:c>
      <x:c r="P98" t="str">
        <x:v>{"ages_in_evaluations":[6,5,4,3,2,1,0],"oldest_to_youngest_evaluation_indices":[1,2,3,4,5,6,7]}</x:v>
      </x:c>
      <x:c r="Q98" s="18"/>
      <x:c r="R98"/>
      <x:c r="S98"/>
      <x:c r="T98" s="19"/>
    </x:row>
    <x:row r="99">
      <x:c r="A99" t="str">
        <x:v>SA-RE</x:v>
      </x:c>
      <x:c r="B99" t="n">
        <x:v>2702</x:v>
      </x:c>
      <x:c r="C99" t="n">
        <x:v>20260834</x:v>
      </x:c>
      <x:c r="D99" t="n">
        <x:v>8</x:v>
      </x:c>
      <x:c r="E99" t="n">
        <x:v>30</x:v>
      </x:c>
      <x:c r="F99" t="str">
        <x:v>initialization</x:v>
      </x:c>
      <x:c r="G99" t="str">
        <x:v>{"normal":{"pairs":[{"branch_1":{"input_state":1,"op":"identity"},"branch_2":{"input_state":0,"op":"max_pool_3x3"}},{"branch_1":{"input_state":0,"op":"dil_sep_conv_3x3"},"branch_2":{"input_state":1,"op":"dil_sep_conv_3x3"}},{"branch_1":{"input_state":1,"op":"identity"},"branch_2":{"input_state":3,"op":"identity"}},{"branch_1":{"input_state":2,"op":"sep_conv_7x7"},"branch_2":{"input_state":1,"op":"conv_1x7_7x1"}},{"branch_1":{"input_state":3,"op":"identity"},"branch_2":{"input_state":4,"op":"max_pool_3x3"}}]},"reduction":{"pairs":[{"branch_1":{"input_state":0,"op":"avg_pool_3x3"},"branch_2":{"input_state":0,"op":"conv_1x7_7x1"}},{"branch_1":{"input_state":2,"op":"sep_conv_3x3"},"branch_2":{"input_state":0,"op":"sep_conv_5x5"}},{"branch_1":{"input_state":2,"op":"dil_sep_conv_3x3"},"branch_2":{"input_state":2,"op":"dil_sep_conv_3x3"}},{"branch_1":{"input_state":2,"op":"identity"},"branch_2":{"input_state":3,"op":"avg_pool_3x3"}},{"branch_1":{"input_state":0,"op":"max_pool_3x3"},"branch_2":{"input_state":5,"op":"dil_sep_conv_3x3"}}]}}</x:v>
      </x:c>
      <x:c r="H99" t="str"/>
      <x:c r="I99" t="str">
        <x:v>random_initialization</x:v>
      </x:c>
      <x:c r="J99" s="15" t="n">
        <x:v>0.7798</x:v>
      </x:c>
      <x:c r="K99" s="15" t="n">
        <x:v>0.7798</x:v>
      </x:c>
      <x:c r="L99" s="15" t="n">
        <x:v>0.7798</x:v>
      </x:c>
      <x:c r="M99" s="15" t="n">
        <x:v>0.7798</x:v>
      </x:c>
      <x:c r="N99" s="16" t="n">
        <x:v>683014</x:v>
      </x:c>
      <x:c r="O99" s="17" t="n">
        <x:v>115.9102472999948</x:v>
      </x:c>
      <x:c r="P99" t="str">
        <x:v>{"ages_in_evaluations":[7,6,5,4,3,2,1,0],"oldest_to_youngest_evaluation_indices":[1,2,3,4,5,6,7,8]}</x:v>
      </x:c>
      <x:c r="Q99" s="18"/>
      <x:c r="R99"/>
      <x:c r="S99"/>
      <x:c r="T99" s="19"/>
    </x:row>
    <x:row r="100">
      <x:c r="A100" t="str">
        <x:v>SA-RE</x:v>
      </x:c>
      <x:c r="B100" t="n">
        <x:v>2702</x:v>
      </x:c>
      <x:c r="C100" t="n">
        <x:v>20260835</x:v>
      </x:c>
      <x:c r="D100" t="n">
        <x:v>9</x:v>
      </x:c>
      <x:c r="E100" t="n">
        <x:v>30</x:v>
      </x:c>
      <x:c r="F100" t="str">
        <x:v>initialization</x:v>
      </x:c>
      <x:c r="G100" t="str">
        <x:v>{"normal":{"pairs":[{"branch_1":{"input_state":0,"op":"sep_conv_3x3"},"branch_2":{"input_state":1,"op":"avg_pool_3x3"}},{"branch_1":{"input_state":0,"op":"conv_1x7_7x1"},"branch_2":{"input_state":0,"op":"conv_1x7_7x1"}},{"branch_1":{"input_state":0,"op":"conv_1x7_7x1"},"branch_2":{"input_state":2,"op":"sep_conv_5x5"}},{"branch_1":{"input_state":3,"op":"avg_pool_3x3"},"branch_2":{"input_state":0,"op":"dil_sep_conv_3x3"}},{"branch_1":{"input_state":0,"op":"sep_conv_3x3"},"branch_2":{"input_state":5,"op":"sep_conv_7x7"}}]},"reduction":{"pairs":[{"branch_1":{"input_state":0,"op":"sep_conv_5x5"},"branch_2":{"input_state":1,"op":"sep_conv_3x3"}},{"branch_1":{"input_state":0,"op":"sep_conv_7x7"},"branch_2":{"input_state":1,"op":"avg_pool_3x3"}},{"branch_1":{"input_state":0,"op":"conv_1x7_7x1"},"branch_2":{"input_state":1,"op":"conv_1x7_7x1"}},{"branch_1":{"input_state":2,"op":"conv_1x7_7x1"},"branch_2":{"input_state":3,"op":"sep_conv_3x3"}},{"branch_1":{"input_state":2,"op":"sep_conv_7x7"},"branch_2":{"input_state":4,"op":"sep_conv_5x5"}}]}}</x:v>
      </x:c>
      <x:c r="H100" t="str"/>
      <x:c r="I100" t="str">
        <x:v>random_initialization</x:v>
      </x:c>
      <x:c r="J100" s="15" t="n">
        <x:v>0.732</x:v>
      </x:c>
      <x:c r="K100" s="15" t="n">
        <x:v>0.732</x:v>
      </x:c>
      <x:c r="L100" s="15" t="n">
        <x:v>0.732</x:v>
      </x:c>
      <x:c r="M100" s="15" t="n">
        <x:v>0.732</x:v>
      </x:c>
      <x:c r="N100" s="16" t="n">
        <x:v>1021486</x:v>
      </x:c>
      <x:c r="O100" s="17" t="n">
        <x:v>180.4156955999788</x:v>
      </x:c>
      <x:c r="P100" t="str">
        <x:v>{"ages_in_evaluations":[8,7,6,5,4,3,2,1,0],"oldest_to_youngest_evaluation_indices":[1,2,3,4,5,6,7,8,9]}</x:v>
      </x:c>
      <x:c r="Q100" s="18"/>
      <x:c r="R100"/>
      <x:c r="S100"/>
      <x:c r="T100" s="19"/>
    </x:row>
    <x:row r="101">
      <x:c r="A101" t="str">
        <x:v>SA-RE</x:v>
      </x:c>
      <x:c r="B101" t="n">
        <x:v>2702</x:v>
      </x:c>
      <x:c r="C101" t="n">
        <x:v>20260836</x:v>
      </x:c>
      <x:c r="D101" t="n">
        <x:v>10</x:v>
      </x:c>
      <x:c r="E101" t="n">
        <x:v>30</x:v>
      </x:c>
      <x:c r="F101" t="str">
        <x:v>initialization</x:v>
      </x:c>
      <x:c r="G101" t="str">
        <x:v>{"normal":{"pairs":[{"branch_1":{"input_state":0,"op":"max_pool_3x3"},"branch_2":{"input_state":1,"op":"sep_conv_7x7"}},{"branch_1":{"input_state":2,"op":"conv_1x7_7x1"},"branch_2":{"input_state":2,"op":"identity"}},{"branch_1":{"input_state":0,"op":"dil_sep_conv_3x3"},"branch_2":{"input_state":2,"op":"sep_conv_3x3"}},{"branch_1":{"input_state":1,"op":"identity"},"branch_2":{"input_state":2,"op":"sep_conv_7x7"}},{"branch_1":{"input_state":2,"op":"conv_1x7_7x1"},"branch_2":{"input_state":1,"op":"max_pool_3x3"}}]},"reduction":{"pairs":[{"branch_1":{"input_state":1,"op":"max_pool_3x3"},"branch_2":{"input_state":1,"op":"dil_sep_conv_3x3"}},{"branch_1":{"input_state":0,"op":"sep_conv_3x3"},"branch_2":{"input_state":2,"op":"identity"}},{"branch_1":{"input_state":2,"op":"sep_conv_3x3"},"branch_2":{"input_state":2,"op":"sep_conv_3x3"}},{"branch_1":{"input_state":3,"op":"sep_conv_7x7"},"branch_2":{"input_state":2,"op":"max_pool_3x3"}},{"branch_1":{"input_state":0,"op":"sep_conv_3x3"},"branch_2":{"input_state":2,"op":"sep_conv_3x3"}}]}}</x:v>
      </x:c>
      <x:c r="H101" t="str"/>
      <x:c r="I101" t="str">
        <x:v>random_initialization</x:v>
      </x:c>
      <x:c r="J101" s="15" t="n">
        <x:v>0.785</x:v>
      </x:c>
      <x:c r="K101" s="15" t="n">
        <x:v>0.785</x:v>
      </x:c>
      <x:c r="L101" s="15" t="n">
        <x:v>0.785</x:v>
      </x:c>
      <x:c r="M101" s="15" t="n">
        <x:v>0.785</x:v>
      </x:c>
      <x:c r="N101" s="16" t="n">
        <x:v>1010698</x:v>
      </x:c>
      <x:c r="O101" s="17" t="n">
        <x:v>165.36443300000974</x:v>
      </x:c>
      <x:c r="P101" t="str">
        <x:v>{"ages_in_evaluations":[9,8,7,6,5,4,3,2,1,0],"oldest_to_youngest_evaluation_indices":[1,2,3,4,5,6,7,8,9,10]}</x:v>
      </x:c>
      <x:c r="Q101" s="18"/>
      <x:c r="R101"/>
      <x:c r="S101"/>
      <x:c r="T101" s="19"/>
    </x:row>
    <x:row r="102">
      <x:c r="A102" t="str">
        <x:v>SA-RE</x:v>
      </x:c>
      <x:c r="B102" t="n">
        <x:v>2702</x:v>
      </x:c>
      <x:c r="C102" t="n">
        <x:v>20260837</x:v>
      </x:c>
      <x:c r="D102" t="n">
        <x:v>11</x:v>
      </x:c>
      <x:c r="E102" t="n">
        <x:v>30</x:v>
      </x:c>
      <x:c r="F102" t="str">
        <x:v>initialization</x:v>
      </x:c>
      <x:c r="G102" t="str">
        <x:v>{"normal":{"pairs":[{"branch_1":{"input_state":0,"op":"conv_1x7_7x1"},"branch_2":{"input_state":0,"op":"max_pool_3x3"}},{"branch_1":{"input_state":2,"op":"sep_conv_3x3"},"branch_2":{"input_state":2,"op":"dil_sep_conv_3x3"}},{"branch_1":{"input_state":3,"op":"identity"},"branch_2":{"input_state":0,"op":"sep_conv_7x7"}},{"branch_1":{"input_state":0,"op":"max_pool_3x3"},"branch_2":{"input_state":1,"op":"sep_conv_3x3"}},{"branch_1":{"input_state":1,"op":"dil_sep_conv_3x3"},"branch_2":{"input_state":3,"op":"dil_sep_conv_3x3"}}]},"reduction":{"pairs":[{"branch_1":{"input_state":1,"op":"conv_1x7_7x1"},"branch_2":{"input_state":0,"op":"sep_conv_3x3"}},{"branch_1":{"input_state":2,"op":"sep_conv_5x5"},"branch_2":{"input_state":2,"op":"max_pool_3x3"}},{"branch_1":{"input_state":1,"op":"sep_conv_7x7"},"branch_2":{"input_state":0,"op":"sep_conv_5x5"}},{"branch_1":{"input_state":4,"op":"sep_conv_5x5"},"branch_2":{"input_state":2,"op":"dil_sep_conv_3x3"}},{"branch_1":{"input_state":4,"op":"conv_1x7_7x1"},"branch_2":{"input_state":1,"op":"identity"}}]}}</x:v>
      </x:c>
      <x:c r="H102" t="str"/>
      <x:c r="I102" t="str">
        <x:v>random_initialization</x:v>
      </x:c>
      <x:c r="J102" s="15" t="n">
        <x:v>0.7622</x:v>
      </x:c>
      <x:c r="K102" s="15" t="n">
        <x:v>0.7622</x:v>
      </x:c>
      <x:c r="L102" s="15" t="n">
        <x:v>0.7622</x:v>
      </x:c>
      <x:c r="M102" s="15" t="n">
        <x:v>0.7622</x:v>
      </x:c>
      <x:c r="N102" s="16" t="n">
        <x:v>1063630</x:v>
      </x:c>
      <x:c r="O102" s="17" t="n">
        <x:v>171.79347440000856</x:v>
      </x:c>
      <x:c r="P102" t="str">
        <x:v>{"ages_in_evaluations":[10,9,8,7,6,5,4,3,2,1,0],"oldest_to_youngest_evaluation_indices":[1,2,3,4,5,6,7,8,9,10,11]}</x:v>
      </x:c>
      <x:c r="Q102" s="18"/>
      <x:c r="R102"/>
      <x:c r="S102"/>
      <x:c r="T102" s="19"/>
    </x:row>
    <x:row r="103">
      <x:c r="A103" t="str">
        <x:v>SA-RE</x:v>
      </x:c>
      <x:c r="B103" t="n">
        <x:v>2702</x:v>
      </x:c>
      <x:c r="C103" t="n">
        <x:v>20260838</x:v>
      </x:c>
      <x:c r="D103" t="n">
        <x:v>12</x:v>
      </x:c>
      <x:c r="E103" t="n">
        <x:v>30</x:v>
      </x:c>
      <x:c r="F103" t="str">
        <x:v>initialization</x:v>
      </x:c>
      <x:c r="G103" t="str">
        <x:v>{"normal":{"pairs":[{"branch_1":{"input_state":0,"op":"sep_conv_7x7"},"branch_2":{"input_state":0,"op":"max_pool_3x3"}},{"branch_1":{"input_state":2,"op":"max_pool_3x3"},"branch_2":{"input_state":1,"op":"conv_1x7_7x1"}},{"branch_1":{"input_state":3,"op":"sep_conv_7x7"},"branch_2":{"input_state":3,"op":"sep_conv_5x5"}},{"branch_1":{"input_state":2,"op":"dil_sep_conv_3x3"},"branch_2":{"input_state":0,"op":"conv_1x7_7x1"}},{"branch_1":{"input_state":4,"op":"sep_conv_3x3"},"branch_2":{"input_state":2,"op":"max_pool_3x3"}}]},"reduction":{"pairs":[{"branch_1":{"input_state":0,"op":"conv_1x7_7x1"},"branch_2":{"input_state":0,"op":"identity"}},{"branch_1":{"input_state":2,"op":"sep_conv_7x7"},"branch_2":{"input_state":0,"op":"dil_sep_conv_3x3"}},{"branch_1":{"input_state":1,"op":"sep_conv_7x7"},"branch_2":{"input_state":3,"op":"sep_conv_5x5"}},{"branch_1":{"input_state":0,"op":"dil_sep_conv_3x3"},"branch_2":{"input_state":0,"op":"sep_conv_7x7"}},{"branch_1":{"input_state":4,"op":"sep_conv_7x7"},"branch_2":{"input_state":2,"op":"avg_pool_3x3"}}]}}</x:v>
      </x:c>
      <x:c r="H103" t="str"/>
      <x:c r="I103" t="str">
        <x:v>random_initialization</x:v>
      </x:c>
      <x:c r="J103" s="15" t="n">
        <x:v>0.7576</x:v>
      </x:c>
      <x:c r="K103" s="15" t="n">
        <x:v>0.7576</x:v>
      </x:c>
      <x:c r="L103" s="15" t="n">
        <x:v>0.7576</x:v>
      </x:c>
      <x:c r="M103" s="15" t="n">
        <x:v>0.7576</x:v>
      </x:c>
      <x:c r="N103" s="16" t="n">
        <x:v>1033906</x:v>
      </x:c>
      <x:c r="O103" s="17" t="n">
        <x:v>185.91437429998768</x:v>
      </x:c>
      <x:c r="P103" t="str">
        <x:v>{"ages_in_evaluations":[11,10,9,8,7,6,5,4,3,2,1,0],"oldest_to_youngest_evaluation_indices":[1,2,3,4,5,6,7,8,9,10,11,12]}</x:v>
      </x:c>
      <x:c r="Q103" s="18"/>
      <x:c r="R103"/>
      <x:c r="S103"/>
      <x:c r="T103" s="19"/>
    </x:row>
    <x:row r="104">
      <x:c r="A104" t="str">
        <x:v>SA-RE</x:v>
      </x:c>
      <x:c r="B104" t="n">
        <x:v>2702</x:v>
      </x:c>
      <x:c r="C104" t="n">
        <x:v>20260839</x:v>
      </x:c>
      <x:c r="D104" t="n">
        <x:v>13</x:v>
      </x:c>
      <x:c r="E104" t="n">
        <x:v>30</x:v>
      </x:c>
      <x:c r="F104" t="str">
        <x:v>initialization</x:v>
      </x:c>
      <x:c r="G104" t="str">
        <x:v>{"normal":{"pairs":[{"branch_1":{"input_state":0,"op":"dil_sep_conv_3x3"},"branch_2":{"input_state":0,"op":"conv_1x7_7x1"}},{"branch_1":{"input_state":1,"op":"identity"},"branch_2":{"input_state":1,"op":"avg_pool_3x3"}},{"branch_1":{"input_state":0,"op":"max_pool_3x3"},"branch_2":{"input_state":0,"op":"avg_pool_3x3"}},{"branch_1":{"input_state":1,"op":"avg_pool_3x3"},"branch_2":{"input_state":2,"op":"sep_conv_3x3"}},{"branch_1":{"input_state":1,"op":"sep_conv_5x5"},"branch_2":{"input_state":1,"op":"conv_1x7_7x1"}}]},"reduction":{"pairs":[{"branch_1":{"input_state":0,"op":"conv_1x7_7x1"},"branch_2":{"input_state":0,"op":"dil_sep_conv_3x3"}},{"branch_1":{"input_state":0,"op":"conv_1x7_7x1"},"branch_2":{"input_state":0,"op":"sep_conv_5x5"}},{"branch_1":{"input_state":0,"op":"sep_conv_5x5"},"branch_2":{"input_state":1,"op":"sep_conv_3x3"}},{"branch_1":{"input_state":1,"op":"max_pool_3x3"},"branch_2":{"input_state":0,"op":"avg_pool_3x3"}},{"branch_1":{"input_state":1,"op":"dil_sep_conv_3x3"},"branch_2":{"input_state":2,"op":"sep_conv_3x3"}}]}}</x:v>
      </x:c>
      <x:c r="H104" t="str"/>
      <x:c r="I104" t="str">
        <x:v>random_initialization</x:v>
      </x:c>
      <x:c r="J104" s="15" t="n">
        <x:v>0.8186</x:v>
      </x:c>
      <x:c r="K104" s="15" t="n">
        <x:v>0.8186</x:v>
      </x:c>
      <x:c r="L104" s="15" t="n">
        <x:v>0.8186</x:v>
      </x:c>
      <x:c r="M104" s="15" t="n">
        <x:v>0.8186</x:v>
      </x:c>
      <x:c r="N104" s="16" t="n">
        <x:v>889738</x:v>
      </x:c>
      <x:c r="O104" s="17" t="n">
        <x:v>154.88042460000725</x:v>
      </x:c>
      <x:c r="P104" t="str">
        <x:v>{"ages_in_evaluations":[12,11,10,9,8,7,6,5,4,3,2,1,0],"oldest_to_youngest_evaluation_indices":[1,2,3,4,5,6,7,8,9,10,11,12,13]}</x:v>
      </x:c>
      <x:c r="Q104" s="18"/>
      <x:c r="R104"/>
      <x:c r="S104"/>
      <x:c r="T104" s="19"/>
    </x:row>
    <x:row r="105">
      <x:c r="A105" t="str">
        <x:v>SA-RE</x:v>
      </x:c>
      <x:c r="B105" t="n">
        <x:v>2702</x:v>
      </x:c>
      <x:c r="C105" t="n">
        <x:v>20260840</x:v>
      </x:c>
      <x:c r="D105" t="n">
        <x:v>14</x:v>
      </x:c>
      <x:c r="E105" t="n">
        <x:v>30</x:v>
      </x:c>
      <x:c r="F105" t="str">
        <x:v>initialization</x:v>
      </x:c>
      <x:c r="G105" t="str">
        <x:v>{"normal":{"pairs":[{"branch_1":{"input_state":0,"op":"identity"},"branch_2":{"input_state":0,"op":"avg_pool_3x3"}},{"branch_1":{"input_state":1,"op":"sep_conv_7x7"},"branch_2":{"input_state":2,"op":"sep_conv_7x7"}},{"branch_1":{"input_state":2,"op":"conv_1x7_7x1"},"branch_2":{"input_state":3,"op":"max_pool_3x3"}},{"branch_1":{"input_state":2,"op":"sep_conv_3x3"},"branch_2":{"input_state":1,"op":"sep_conv_7x7"}},{"branch_1":{"input_state":3,"op":"dil_sep_conv_3x3"},"branch_2":{"input_state":1,"op":"sep_conv_3x3"}}]},"reduction":{"pairs":[{"branch_1":{"input_state":1,"op":"avg_pool_3x3"},"branch_2":{"input_state":1,"op":"avg_pool_3x3"}},{"branch_1":{"input_state":0,"op":"conv_1x7_7x1"},"branch_2":{"input_state":2,"op":"avg_pool_3x3"}},{"branch_1":{"input_state":1,"op":"max_pool_3x3"},"branch_2":{"input_state":3,"op":"sep_conv_7x7"}},{"branch_1":{"input_state":1,"op":"sep_conv_7x7"},"branch_2":{"input_state":4,"op":"max_pool_3x3"}},{"branch_1":{"input_state":2,"op":"max_pool_3x3"},"branch_2":{"input_state":2,"op":"conv_1x7_7x1"}}]}}</x:v>
      </x:c>
      <x:c r="H105" t="str"/>
      <x:c r="I105" t="str">
        <x:v>random_initialization</x:v>
      </x:c>
      <x:c r="J105" s="15" t="n">
        <x:v>0.754</x:v>
      </x:c>
      <x:c r="K105" s="15" t="n">
        <x:v>0.754</x:v>
      </x:c>
      <x:c r="L105" s="15" t="n">
        <x:v>0.754</x:v>
      </x:c>
      <x:c r="M105" s="15" t="n">
        <x:v>0.754</x:v>
      </x:c>
      <x:c r="N105" s="16" t="n">
        <x:v>1002286</x:v>
      </x:c>
      <x:c r="O105" s="17" t="n">
        <x:v>176.5385722999927</x:v>
      </x:c>
      <x:c r="P105" t="str">
        <x:v>{"ages_in_evaluations":[13,12,11,10,9,8,7,6,5,4,3,2,1,0],"oldest_to_youngest_evaluation_indices":[1,2,3,4,5,6,7,8,9,10,11,12,13,14]}</x:v>
      </x:c>
      <x:c r="Q105" s="18"/>
      <x:c r="R105"/>
      <x:c r="S105"/>
      <x:c r="T105" s="19"/>
    </x:row>
    <x:row r="106">
      <x:c r="A106" t="str">
        <x:v>SA-RE</x:v>
      </x:c>
      <x:c r="B106" t="n">
        <x:v>2702</x:v>
      </x:c>
      <x:c r="C106" t="n">
        <x:v>20260841</x:v>
      </x:c>
      <x:c r="D106" t="n">
        <x:v>15</x:v>
      </x:c>
      <x:c r="E106" t="n">
        <x:v>30</x:v>
      </x:c>
      <x:c r="F106" t="str">
        <x:v>initialization</x:v>
      </x:c>
      <x:c r="G106" t="str">
        <x:v>{"normal":{"pairs":[{"branch_1":{"input_state":0,"op":"sep_conv_7x7"},"branch_2":{"input_state":0,"op":"sep_conv_7x7"}},{"branch_1":{"input_state":2,"op":"max_pool_3x3"},"branch_2":{"input_state":2,"op":"sep_conv_7x7"}},{"branch_1":{"input_state":0,"op":"identity"},"branch_2":{"input_state":3,"op":"identity"}},{"branch_1":{"input_state":1,"op":"max_pool_3x3"},"branch_2":{"input_state":0,"op":"sep_conv_7x7"}},{"branch_1":{"input_state":0,"op":"sep_conv_5x5"},"branch_2":{"input_state":5,"op":"sep_conv_3x3"}}]},"reduction":{"pairs":[{"branch_1":{"input_state":1,"op":"max_pool_3x3"},"branch_2":{"input_state":0,"op":"max_pool_3x3"}},{"branch_1":{"input_state":2,"op":"identity"},"branch_2":{"input_state":1,"op":"sep_conv_7x7"}},{"branch_1":{"input_state":1,"op":"identity"},"branch_2":{"input_state":0,"op":"sep_conv_7x7"}},{"branch_1":{"input_state":4,"op":"avg_pool_3x3"},"branch_2":{"input_state":4,"op":"conv_1x7_7x1"}},{"branch_1":{"input_state":3,"op":"max_pool_3x3"},"branch_2":{"input_state":1,"op":"conv_1x7_7x1"}}]}}</x:v>
      </x:c>
      <x:c r="H106" t="str"/>
      <x:c r="I106" t="str">
        <x:v>random_initialization</x:v>
      </x:c>
      <x:c r="J106" s="15" t="n">
        <x:v>0.7788</x:v>
      </x:c>
      <x:c r="K106" s="15" t="n">
        <x:v>0.7788</x:v>
      </x:c>
      <x:c r="L106" s="15" t="n">
        <x:v>0.7788</x:v>
      </x:c>
      <x:c r="M106" s="15" t="n">
        <x:v>0.7788</x:v>
      </x:c>
      <x:c r="N106" s="16" t="n">
        <x:v>952546</x:v>
      </x:c>
      <x:c r="O106" s="17" t="n">
        <x:v>163.27212530001998</x:v>
      </x:c>
      <x:c r="P106" t="str">
        <x:v>{"ages_in_evaluations":[14,13,12,11,10,9,8,7,6,5,4,3,2,1,0],"oldest_to_youngest_evaluation_indices":[1,2,3,4,5,6,7,8,9,10,11,12,13,14,15]}</x:v>
      </x:c>
      <x:c r="Q106" s="18"/>
      <x:c r="R106"/>
      <x:c r="S106"/>
      <x:c r="T106" s="19"/>
    </x:row>
    <x:row r="107">
      <x:c r="A107" t="str">
        <x:v>SA-RE</x:v>
      </x:c>
      <x:c r="B107" t="n">
        <x:v>2702</x:v>
      </x:c>
      <x:c r="C107" t="n">
        <x:v>20260842</x:v>
      </x:c>
      <x:c r="D107" t="n">
        <x:v>16</x:v>
      </x:c>
      <x:c r="E107" t="n">
        <x:v>30</x:v>
      </x:c>
      <x:c r="F107" t="str">
        <x:v>initialization</x:v>
      </x:c>
      <x:c r="G107" t="str">
        <x:v>{"normal":{"pairs":[{"branch_1":{"input_state":0,"op":"identity"},"branch_2":{"input_state":1,"op":"conv_1x7_7x1"}},{"branch_1":{"input_state":0,"op":"sep_conv_7x7"},"branch_2":{"input_state":1,"op":"max_pool_3x3"}},{"branch_1":{"input_state":3,"op":"avg_pool_3x3"},"branch_2":{"input_state":2,"op":"identity"}},{"branch_1":{"input_state":0,"op":"dil_sep_conv_3x3"},"branch_2":{"input_state":0,"op":"dil_sep_conv_3x3"}},{"branch_1":{"input_state":4,"op":"sep_conv_7x7"},"branch_2":{"input_state":3,"op":"sep_conv_5x5"}}]},"reduction":{"pairs":[{"branch_1":{"input_state":1,"op":"max_pool_3x3"},"branch_2":{"input_state":1,"op":"sep_conv_5x5"}},{"branch_1":{"input_state":2,"op":"avg_pool_3x3"},"branch_2":{"input_state":0,"op":"sep_conv_7x7"}},{"branch_1":{"input_state":3,"op":"dil_sep_conv_3x3"},"branch_2":{"input_state":1,"op":"max_pool_3x3"}},{"branch_1":{"input_state":3,"op":"dil_sep_conv_3x3"},"branch_2":{"input_state":4,"op":"dil_sep_conv_3x3"}},{"branch_1":{"input_state":3,"op":"avg_pool_3x3"},"branch_2":{"input_state":5,"op":"sep_conv_7x7"}}]}}</x:v>
      </x:c>
      <x:c r="H107" t="str"/>
      <x:c r="I107" t="str">
        <x:v>random_initialization</x:v>
      </x:c>
      <x:c r="J107" s="15" t="n">
        <x:v>0.7564</x:v>
      </x:c>
      <x:c r="K107" s="15" t="n">
        <x:v>0.7564</x:v>
      </x:c>
      <x:c r="L107" s="15" t="n">
        <x:v>0.7564</x:v>
      </x:c>
      <x:c r="M107" s="15" t="n">
        <x:v>0.7564</x:v>
      </x:c>
      <x:c r="N107" s="16" t="n">
        <x:v>869998</x:v>
      </x:c>
      <x:c r="O107" s="17" t="n">
        <x:v>157.12686010001926</x:v>
      </x:c>
      <x:c r="P107" t="str">
        <x:v>{"ages_in_evaluations":[15,14,13,12,11,10,9,8,7,6,5,4,3,2,1,0],"oldest_to_youngest_evaluation_indices":[1,2,3,4,5,6,7,8,9,10,11,12,13,14,15,16]}</x:v>
      </x:c>
      <x:c r="Q107" s="18"/>
      <x:c r="R107"/>
      <x:c r="S107"/>
      <x:c r="T107" s="19"/>
    </x:row>
    <x:row r="108">
      <x:c r="A108" t="str">
        <x:v>SA-RE</x:v>
      </x:c>
      <x:c r="B108" t="n">
        <x:v>2702</x:v>
      </x:c>
      <x:c r="C108" t="n">
        <x:v>20260843</x:v>
      </x:c>
      <x:c r="D108" t="n">
        <x:v>17</x:v>
      </x:c>
      <x:c r="E108" t="n">
        <x:v>30</x:v>
      </x:c>
      <x:c r="F108" t="str">
        <x:v>initialization</x:v>
      </x:c>
      <x:c r="G108" t="str">
        <x:v>{"normal":{"pairs":[{"branch_1":{"input_state":0,"op":"max_pool_3x3"},"branch_2":{"input_state":1,"op":"conv_1x7_7x1"}},{"branch_1":{"input_state":2,"op":"sep_conv_5x5"},"branch_2":{"input_state":1,"op":"max_pool_3x3"}},{"branch_1":{"input_state":3,"op":"avg_pool_3x3"},"branch_2":{"input_state":0,"op":"sep_conv_3x3"}},{"branch_1":{"input_state":1,"op":"sep_conv_7x7"},"branch_2":{"input_state":1,"op":"sep_conv_3x3"}},{"branch_1":{"input_state":4,"op":"avg_pool_3x3"},"branch_2":{"input_state":1,"op":"sep_conv_7x7"}}]},"reduction":{"pairs":[{"branch_1":{"input_state":1,"op":"avg_pool_3x3"},"branch_2":{"input_state":1,"op":"dil_sep_conv_3x3"}},{"branch_1":{"input_state":1,"op":"max_pool_3x3"},"branch_2":{"input_state":0,"op":"conv_1x7_7x1"}},{"branch_1":{"input_state":3,"op":"avg_pool_3x3"},"branch_2":{"input_state":3,"op":"sep_conv_5x5"}},{"branch_1":{"input_state":1,"op":"dil_sep_conv_3x3"},"branch_2":{"input_state":1,"op":"max_pool_3x3"}},{"branch_1":{"input_state":0,"op":"identity"},"branch_2":{"input_state":3,"op":"conv_1x7_7x1"}}]}}</x:v>
      </x:c>
      <x:c r="H108" t="str"/>
      <x:c r="I108" t="str">
        <x:v>random_initialization</x:v>
      </x:c>
      <x:c r="J108" s="15" t="n">
        <x:v>0.7718</x:v>
      </x:c>
      <x:c r="K108" s="15" t="n">
        <x:v>0.7718</x:v>
      </x:c>
      <x:c r="L108" s="15" t="n">
        <x:v>0.7718</x:v>
      </x:c>
      <x:c r="M108" s="15" t="n">
        <x:v>0.7718</x:v>
      </x:c>
      <x:c r="N108" s="16" t="n">
        <x:v>893758</x:v>
      </x:c>
      <x:c r="O108" s="17" t="n">
        <x:v>160.63816309999677</x:v>
      </x:c>
      <x:c r="P108" t="str">
        <x:v>{"ages_in_evaluations":[16,15,14,13,12,11,10,9,8,7,6,5,4,3,2,1,0],"oldest_to_youngest_evaluation_indices":[1,2,3,4,5,6,7,8,9,10,11,12,13,14,15,16,17]}</x:v>
      </x:c>
      <x:c r="Q108" s="18"/>
      <x:c r="R108"/>
      <x:c r="S108"/>
      <x:c r="T108" s="19"/>
    </x:row>
    <x:row r="109">
      <x:c r="A109" t="str">
        <x:v>SA-RE</x:v>
      </x:c>
      <x:c r="B109" t="n">
        <x:v>2702</x:v>
      </x:c>
      <x:c r="C109" t="n">
        <x:v>20260844</x:v>
      </x:c>
      <x:c r="D109" t="n">
        <x:v>18</x:v>
      </x:c>
      <x:c r="E109" t="n">
        <x:v>30</x:v>
      </x:c>
      <x:c r="F109" t="str">
        <x:v>initialization</x:v>
      </x:c>
      <x:c r="G109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0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H109" t="str"/>
      <x:c r="I109" t="str">
        <x:v>random_initialization</x:v>
      </x:c>
      <x:c r="J109" s="15" t="n">
        <x:v>0.801</x:v>
      </x:c>
      <x:c r="K109" s="15" t="n">
        <x:v>0.801</x:v>
      </x:c>
      <x:c r="L109" s="15" t="n">
        <x:v>0.801</x:v>
      </x:c>
      <x:c r="M109" s="15" t="n">
        <x:v>0.801</x:v>
      </x:c>
      <x:c r="N109" s="16" t="n">
        <x:v>698662</x:v>
      </x:c>
      <x:c r="O109" s="17" t="n">
        <x:v>128.23670849998598</x:v>
      </x:c>
      <x:c r="P109" t="str">
        <x:v>{"ages_in_evaluations":[17,16,15,14,13,12,11,10,9,8,7,6,5,4,3,2,1,0],"oldest_to_youngest_evaluation_indices":[1,2,3,4,5,6,7,8,9,10,11,12,13,14,15,16,17,18]}</x:v>
      </x:c>
      <x:c r="Q109" s="18"/>
      <x:c r="R109"/>
      <x:c r="S109"/>
      <x:c r="T109" s="19"/>
    </x:row>
    <x:row r="110">
      <x:c r="A110" t="str">
        <x:v>SA-RE</x:v>
      </x:c>
      <x:c r="B110" t="n">
        <x:v>2702</x:v>
      </x:c>
      <x:c r="C110" t="n">
        <x:v>20260845</x:v>
      </x:c>
      <x:c r="D110" t="n">
        <x:v>19</x:v>
      </x:c>
      <x:c r="E110" t="n">
        <x:v>30</x:v>
      </x:c>
      <x:c r="F110" t="str">
        <x:v>initialization</x:v>
      </x:c>
      <x:c r="G110" t="str">
        <x:v>{"normal":{"pairs":[{"branch_1":{"input_state":0,"op":"conv_1x7_7x1"},"branch_2":{"input_state":0,"op":"sep_conv_3x3"}},{"branch_1":{"input_state":2,"op":"max_pool_3x3"},"branch_2":{"input_state":0,"op":"identity"}},{"branch_1":{"input_state":3,"op":"conv_1x7_7x1"},"branch_2":{"input_state":0,"op":"sep_conv_7x7"}},{"branch_1":{"input_state":1,"op":"sep_conv_7x7"},"branch_2":{"input_state":4,"op":"dil_sep_conv_3x3"}},{"branch_1":{"input_state":0,"op":"identity"},"branch_2":{"input_state":1,"op":"sep_conv_5x5"}}]},"reduction":{"pairs":[{"branch_1":{"input_state":0,"op":"identity"},"branch_2":{"input_state":1,"op":"sep_conv_5x5"}},{"branch_1":{"input_state":1,"op":"sep_conv_3x3"},"branch_2":{"input_state":0,"op":"sep_conv_5x5"}},{"branch_1":{"input_state":3,"op":"dil_sep_conv_3x3"},"branch_2":{"input_state":0,"op":"avg_pool_3x3"}},{"branch_1":{"input_state":1,"op":"dil_sep_conv_3x3"},"branch_2":{"input_state":4,"op":"sep_conv_5x5"}},{"branch_1":{"input_state":4,"op":"conv_1x7_7x1"},"branch_2":{"input_state":1,"op":"dil_sep_conv_3x3"}}]}}</x:v>
      </x:c>
      <x:c r="H110" t="str"/>
      <x:c r="I110" t="str">
        <x:v>random_initialization</x:v>
      </x:c>
      <x:c r="J110" s="15" t="n">
        <x:v>0.7048</x:v>
      </x:c>
      <x:c r="K110" s="15" t="n">
        <x:v>0.7048</x:v>
      </x:c>
      <x:c r="L110" s="15" t="n">
        <x:v>0.7048</x:v>
      </x:c>
      <x:c r="M110" s="15" t="n">
        <x:v>0.7048</x:v>
      </x:c>
      <x:c r="N110" s="16" t="n">
        <x:v>1020082</x:v>
      </x:c>
      <x:c r="O110" s="17" t="n">
        <x:v>179.11397690000013</x:v>
      </x:c>
      <x:c r="P110" t="str">
        <x:v>{"ages_in_evaluations":[18,17,16,15,14,13,12,11,10,9,8,7,6,5,4,3,2,1,0],"oldest_to_youngest_evaluation_indices":[1,2,3,4,5,6,7,8,9,10,11,12,13,14,15,16,17,18,19]}</x:v>
      </x:c>
      <x:c r="Q110" s="18"/>
      <x:c r="R110"/>
      <x:c r="S110"/>
      <x:c r="T110" s="19"/>
    </x:row>
    <x:row r="111">
      <x:c r="A111" t="str">
        <x:v>SA-RE</x:v>
      </x:c>
      <x:c r="B111" t="n">
        <x:v>2702</x:v>
      </x:c>
      <x:c r="C111" t="n">
        <x:v>20260846</x:v>
      </x:c>
      <x:c r="D111" t="n">
        <x:v>20</x:v>
      </x:c>
      <x:c r="E111" t="n">
        <x:v>30</x:v>
      </x:c>
      <x:c r="F111" t="str">
        <x:v>initialization</x:v>
      </x:c>
      <x:c r="G111" t="str">
        <x:v>{"normal":{"pairs":[{"branch_1":{"input_state":0,"op":"sep_conv_3x3"},"branch_2":{"input_state":0,"op":"identity"}},{"branch_1":{"input_state":2,"op":"avg_pool_3x3"},"branch_2":{"input_state":2,"op":"dil_sep_conv_3x3"}},{"branch_1":{"input_state":0,"op":"conv_1x7_7x1"},"branch_2":{"input_state":1,"op":"sep_conv_7x7"}},{"branch_1":{"input_state":3,"op":"sep_conv_3x3"},"branch_2":{"input_state":4,"op":"conv_1x7_7x1"}},{"branch_1":{"input_state":5,"op":"avg_pool_3x3"},"branch_2":{"input_state":1,"op":"conv_1x7_7x1"}}]},"reduction":{"pairs":[{"branch_1":{"input_state":0,"op":"conv_1x7_7x1"},"branch_2":{"input_state":1,"op":"max_pool_3x3"}},{"branch_1":{"input_state":1,"op":"sep_conv_7x7"},"branch_2":{"input_state":0,"op":"max_pool_3x3"}},{"branch_1":{"input_state":2,"op":"conv_1x7_7x1"},"branch_2":{"input_state":3,"op":"sep_conv_5x5"}},{"branch_1":{"input_state":4,"op":"conv_1x7_7x1"},"branch_2":{"input_state":0,"op":"avg_pool_3x3"}},{"branch_1":{"input_state":2,"op":"dil_sep_conv_3x3"},"branch_2":{"input_state":2,"op":"dil_sep_conv_3x3"}}]}}</x:v>
      </x:c>
      <x:c r="H111" t="str"/>
      <x:c r="I111" t="str">
        <x:v>random_initialization</x:v>
      </x:c>
      <x:c r="J111" s="15" t="n">
        <x:v>0.6722</x:v>
      </x:c>
      <x:c r="K111" s="15" t="n">
        <x:v>0.6722</x:v>
      </x:c>
      <x:c r="L111" s="15" t="n">
        <x:v>0.6722</x:v>
      </x:c>
      <x:c r="M111" s="15" t="n">
        <x:v>0.6722</x:v>
      </x:c>
      <x:c r="N111" s="16" t="n">
        <x:v>797998</x:v>
      </x:c>
      <x:c r="O111" s="17" t="n">
        <x:v>178.30467260000296</x:v>
      </x:c>
      <x:c r="P111" t="str">
        <x:v>{"ages_in_evaluations":[19,18,17,16,15,14,13,12,11,10,9,8,7,6,5,4,3,2,1,0],"oldest_to_youngest_evaluation_indices":[1,2,3,4,5,6,7,8,9,10,11,12,13,14,15,16,17,18,19,20]}</x:v>
      </x:c>
      <x:c r="Q111" s="18"/>
      <x:c r="R111"/>
      <x:c r="S111"/>
      <x:c r="T111" s="19"/>
    </x:row>
    <x:row r="112">
      <x:c r="A112" t="str">
        <x:v>SA-RE</x:v>
      </x:c>
      <x:c r="B112" t="n">
        <x:v>2702</x:v>
      </x:c>
      <x:c r="C112" t="n">
        <x:v>20260847</x:v>
      </x:c>
      <x:c r="D112" t="n">
        <x:v>21</x:v>
      </x:c>
      <x:c r="E112" t="n">
        <x:v>30</x:v>
      </x:c>
      <x:c r="F112" t="str">
        <x:v>evolution</x:v>
      </x:c>
      <x:c r="G112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H112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0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I112" t="str">
        <x:v>hidden_state</x:v>
      </x:c>
      <x:c r="J112" s="15" t="n">
        <x:v>0.8172</x:v>
      </x:c>
      <x:c r="K112" s="15" t="n">
        <x:v>0.8172</x:v>
      </x:c>
      <x:c r="L112" s="15" t="n">
        <x:v>0.8172</x:v>
      </x:c>
      <x:c r="M112" s="15" t="n">
        <x:v>0.8172</x:v>
      </x:c>
      <x:c r="N112" s="16" t="n">
        <x:v>698662</x:v>
      </x:c>
      <x:c r="O112" s="17" t="n">
        <x:v>128.10289890001877</x:v>
      </x:c>
      <x:c r="P112" t="str">
        <x:v>{"ages_in_evaluations":[19,18,17,16,15,14,13,12,11,10,9,8,7,6,5,4,3,2,1,0],"oldest_to_youngest_evaluation_indices":[2,3,4,5,6,7,8,9,10,11,12,13,14,15,16,17,18,19,20,21]}</x:v>
      </x:c>
      <x:c r="Q112" s="18" t="n">
        <x:v>0.8121410608291626</x:v>
      </x:c>
      <x:c r="R112" t="n">
        <x:v>20</x:v>
      </x:c>
      <x:c r="S112" t="n">
        <x:v>4</x:v>
      </x:c>
      <x:c r="T112" s="19" t="n">
        <x:v>1.6378633560520942e-8</x:v>
      </x:c>
    </x:row>
    <x:row r="113">
      <x:c r="A113" t="str">
        <x:v>SA-RE</x:v>
      </x:c>
      <x:c r="B113" t="n">
        <x:v>2702</x:v>
      </x:c>
      <x:c r="C113" t="n">
        <x:v>20260848</x:v>
      </x:c>
      <x:c r="D113" t="n">
        <x:v>22</x:v>
      </x:c>
      <x:c r="E113" t="n">
        <x:v>30</x:v>
      </x:c>
      <x:c r="F113" t="str">
        <x:v>evolution</x:v>
      </x:c>
      <x:c r="G113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H113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I113" t="str">
        <x:v>identity</x:v>
      </x:c>
      <x:c r="J113" s="15" t="n">
        <x:v>0.8192</x:v>
      </x:c>
      <x:c r="K113" s="15" t="n">
        <x:v>0.8192</x:v>
      </x:c>
      <x:c r="L113" s="15" t="n">
        <x:v>0.8192</x:v>
      </x:c>
      <x:c r="M113" s="15" t="n">
        <x:v>0.8192</x:v>
      </x:c>
      <x:c r="N113" s="16" t="n">
        <x:v>698662</x:v>
      </x:c>
      <x:c r="O113" s="17" t="n">
        <x:v>129.1905257999897</x:v>
      </x:c>
      <x:c r="P113" t="str">
        <x:v>{"ages_in_evaluations":[19,18,17,16,15,14,13,12,11,10,9,8,7,6,5,4,3,2,1,0],"oldest_to_youngest_evaluation_indices":[3,4,5,6,7,8,9,10,11,12,13,14,15,16,17,18,19,20,21,22]}</x:v>
      </x:c>
      <x:c r="Q113" s="18" t="n">
        <x:v>0.8153336048126221</x:v>
      </x:c>
      <x:c r="R113" t="n">
        <x:v>21</x:v>
      </x:c>
      <x:c r="S113" t="n">
        <x:v>1</x:v>
      </x:c>
      <x:c r="T113" s="19" t="n">
        <x:v>3.348316397477902e-7</x:v>
      </x:c>
    </x:row>
    <x:row r="114">
      <x:c r="A114" t="str">
        <x:v>SA-RE</x:v>
      </x:c>
      <x:c r="B114" t="n">
        <x:v>2702</x:v>
      </x:c>
      <x:c r="C114" t="n">
        <x:v>20260849</x:v>
      </x:c>
      <x:c r="D114" t="n">
        <x:v>23</x:v>
      </x:c>
      <x:c r="E114" t="n">
        <x:v>30</x:v>
      </x:c>
      <x:c r="F114" t="str">
        <x:v>evolution</x:v>
      </x:c>
      <x:c r="G114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H114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I114" t="str">
        <x:v>hidden_state</x:v>
      </x:c>
      <x:c r="J114" s="15" t="n">
        <x:v>0.8232</x:v>
      </x:c>
      <x:c r="K114" s="15" t="n">
        <x:v>0.8232</x:v>
      </x:c>
      <x:c r="L114" s="15" t="n">
        <x:v>0.8232</x:v>
      </x:c>
      <x:c r="M114" s="15" t="n">
        <x:v>0.8232</x:v>
      </x:c>
      <x:c r="N114" s="16" t="n">
        <x:v>698662</x:v>
      </x:c>
      <x:c r="O114" s="17" t="n">
        <x:v>129.82788430000073</x:v>
      </x:c>
      <x:c r="P114" t="str">
        <x:v>{"ages_in_evaluations":[19,18,17,16,15,14,13,12,11,10,9,8,7,6,5,4,3,2,1,0],"oldest_to_youngest_evaluation_indices":[4,5,6,7,8,9,10,11,12,13,14,15,16,17,18,19,20,21,22,23]}</x:v>
      </x:c>
      <x:c r="Q114" s="18" t="n">
        <x:v>0.8266068696975708</x:v>
      </x:c>
      <x:c r="R114" t="n">
        <x:v>22</x:v>
      </x:c>
      <x:c r="S114" t="n">
        <x:v>4</x:v>
      </x:c>
      <x:c r="T114" s="19" t="n">
        <x:v>6.282977551563818e-7</x:v>
      </x:c>
    </x:row>
    <x:row r="115">
      <x:c r="A115" t="str">
        <x:v>SA-RE</x:v>
      </x:c>
      <x:c r="B115" t="n">
        <x:v>2702</x:v>
      </x:c>
      <x:c r="C115" t="n">
        <x:v>20260850</x:v>
      </x:c>
      <x:c r="D115" t="n">
        <x:v>24</x:v>
      </x:c>
      <x:c r="E115" t="n">
        <x:v>30</x:v>
      </x:c>
      <x:c r="F115" t="str">
        <x:v>evolution</x:v>
      </x:c>
      <x:c r="G115" t="str">
        <x:v>{"normal":{"pairs":[{"branch_1":{"input_state":0,"op":"dil_sep_conv_3x3"},"branch_2":{"input_state":0,"op":"conv_1x7_7x1"}},{"branch_1":{"input_state":1,"op":"identity"},"branch_2":{"input_state":1,"op":"avg_pool_3x3"}},{"branch_1":{"input_state":0,"op":"max_pool_3x3"},"branch_2":{"input_state":0,"op":"avg_pool_3x3"}},{"branch_1":{"input_state":1,"op":"avg_pool_3x3"},"branch_2":{"input_state":2,"op":"sep_conv_3x3"}},{"branch_1":{"input_state":1,"op":"sep_conv_5x5"},"branch_2":{"input_state":1,"op":"conv_1x7_7x1"}}]},"reduction":{"pairs":[{"branch_1":{"input_state":0,"op":"conv_1x7_7x1"},"branch_2":{"input_state":0,"op":"dil_sep_conv_3x3"}},{"branch_1":{"input_state":0,"op":"conv_1x7_7x1"},"branch_2":{"input_state":0,"op":"sep_conv_5x5"}},{"branch_1":{"input_state":0,"op":"sep_conv_5x5"},"branch_2":{"input_state":1,"op":"sep_conv_3x3"}},{"branch_1":{"input_state":1,"op":"max_pool_3x3"},"branch_2":{"input_state":1,"op":"avg_pool_3x3"}},{"branch_1":{"input_state":1,"op":"dil_sep_conv_3x3"},"branch_2":{"input_state":2,"op":"sep_conv_3x3"}}]}}</x:v>
      </x:c>
      <x:c r="H115" t="str">
        <x:v>{"normal":{"pairs":[{"branch_1":{"input_state":0,"op":"dil_sep_conv_3x3"},"branch_2":{"input_state":0,"op":"conv_1x7_7x1"}},{"branch_1":{"input_state":1,"op":"identity"},"branch_2":{"input_state":1,"op":"avg_pool_3x3"}},{"branch_1":{"input_state":0,"op":"max_pool_3x3"},"branch_2":{"input_state":0,"op":"avg_pool_3x3"}},{"branch_1":{"input_state":1,"op":"avg_pool_3x3"},"branch_2":{"input_state":2,"op":"sep_conv_3x3"}},{"branch_1":{"input_state":1,"op":"sep_conv_5x5"},"branch_2":{"input_state":1,"op":"conv_1x7_7x1"}}]},"reduction":{"pairs":[{"branch_1":{"input_state":0,"op":"conv_1x7_7x1"},"branch_2":{"input_state":0,"op":"dil_sep_conv_3x3"}},{"branch_1":{"input_state":0,"op":"conv_1x7_7x1"},"branch_2":{"input_state":0,"op":"sep_conv_5x5"}},{"branch_1":{"input_state":0,"op":"sep_conv_5x5"},"branch_2":{"input_state":1,"op":"sep_conv_3x3"}},{"branch_1":{"input_state":1,"op":"max_pool_3x3"},"branch_2":{"input_state":0,"op":"avg_pool_3x3"}},{"branch_1":{"input_state":1,"op":"dil_sep_conv_3x3"},"branch_2":{"input_state":2,"op":"sep_conv_3x3"}}]}}</x:v>
      </x:c>
      <x:c r="I115" t="str">
        <x:v>hidden_state</x:v>
      </x:c>
      <x:c r="J115" s="15" t="n">
        <x:v>0.8062</x:v>
      </x:c>
      <x:c r="K115" s="15" t="n">
        <x:v>0.8062</x:v>
      </x:c>
      <x:c r="L115" s="15" t="n">
        <x:v>0.8062</x:v>
      </x:c>
      <x:c r="M115" s="15" t="n">
        <x:v>0.8062</x:v>
      </x:c>
      <x:c r="N115" s="16" t="n">
        <x:v>889738</x:v>
      </x:c>
      <x:c r="O115" s="17" t="n">
        <x:v>153.23559339999338</x:v>
      </x:c>
      <x:c r="P115" t="str">
        <x:v>{"ages_in_evaluations":[19,18,17,16,15,14,13,12,11,10,9,8,7,6,5,4,3,2,1,0],"oldest_to_youngest_evaluation_indices":[5,6,7,8,9,10,11,12,13,14,15,16,17,18,19,20,21,22,23,24]}</x:v>
      </x:c>
      <x:c r="Q115" s="18" t="n">
        <x:v>0.8323593139648438</x:v>
      </x:c>
      <x:c r="R115" t="n">
        <x:v>23</x:v>
      </x:c>
      <x:c r="S115" t="n">
        <x:v>1</x:v>
      </x:c>
      <x:c r="T115" s="19" t="n">
        <x:v>8.362522976312903e-7</x:v>
      </x:c>
    </x:row>
    <x:row r="116">
      <x:c r="A116" t="str">
        <x:v>SA-RE</x:v>
      </x:c>
      <x:c r="B116" t="n">
        <x:v>2702</x:v>
      </x:c>
      <x:c r="C116" t="n">
        <x:v>20260851</x:v>
      </x:c>
      <x:c r="D116" t="n">
        <x:v>25</x:v>
      </x:c>
      <x:c r="E116" t="n">
        <x:v>30</x:v>
      </x:c>
      <x:c r="F116" t="str">
        <x:v>evolution</x:v>
      </x:c>
      <x:c r="G116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0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H116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I116" t="str">
        <x:v>hidden_state</x:v>
      </x:c>
      <x:c r="J116" s="15" t="n">
        <x:v>0.8212</x:v>
      </x:c>
      <x:c r="K116" s="15" t="n">
        <x:v>0.8212</x:v>
      </x:c>
      <x:c r="L116" s="15" t="n">
        <x:v>0.8212</x:v>
      </x:c>
      <x:c r="M116" s="15" t="n">
        <x:v>0.8212</x:v>
      </x:c>
      <x:c r="N116" s="16" t="n">
        <x:v>698662</x:v>
      </x:c>
      <x:c r="O116" s="17" t="n">
        <x:v>110.06853879999836</x:v>
      </x:c>
      <x:c r="P116" t="str">
        <x:v>{"ages_in_evaluations":[19,18,17,16,15,14,13,12,11,10,9,8,7,6,5,4,3,2,1,0],"oldest_to_youngest_evaluation_indices":[6,7,8,9,10,11,12,13,14,15,16,17,18,19,20,21,22,23,24,25]}</x:v>
      </x:c>
      <x:c r="Q116" s="18" t="n">
        <x:v>0.8261001110076904</x:v>
      </x:c>
      <x:c r="R116" t="n">
        <x:v>24</x:v>
      </x:c>
      <x:c r="S116" t="n">
        <x:v>0</x:v>
      </x:c>
      <x:c r="T116" s="19" t="n">
        <x:v>0.000012390308256726712</x:v>
      </x:c>
    </x:row>
    <x:row r="117">
      <x:c r="A117" t="str">
        <x:v>SA-RE</x:v>
      </x:c>
      <x:c r="B117" t="n">
        <x:v>2702</x:v>
      </x:c>
      <x:c r="C117" t="n">
        <x:v>20260852</x:v>
      </x:c>
      <x:c r="D117" t="n">
        <x:v>26</x:v>
      </x:c>
      <x:c r="E117" t="n">
        <x:v>30</x:v>
      </x:c>
      <x:c r="F117" t="str">
        <x:v>evolution</x:v>
      </x:c>
      <x:c r="G117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0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2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H117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0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I117" t="str">
        <x:v>hidden_state</x:v>
      </x:c>
      <x:c r="J117" s="15" t="n">
        <x:v>0.8092</x:v>
      </x:c>
      <x:c r="K117" s="15" t="n">
        <x:v>0.8092</x:v>
      </x:c>
      <x:c r="L117" s="15" t="n">
        <x:v>0.8092</x:v>
      </x:c>
      <x:c r="M117" s="15" t="n">
        <x:v>0.8092</x:v>
      </x:c>
      <x:c r="N117" s="16" t="n">
        <x:v>675622</x:v>
      </x:c>
      <x:c r="O117" s="17" t="n">
        <x:v>109.382517799997</x:v>
      </x:c>
      <x:c r="P117" t="str">
        <x:v>{"ages_in_evaluations":[19,18,17,16,15,14,13,12,11,10,9,8,7,6,5,4,3,2,1,0],"oldest_to_youngest_evaluation_indices":[7,8,9,10,11,12,13,14,15,16,17,18,19,20,21,22,23,24,25,26]}</x:v>
      </x:c>
      <x:c r="Q117" s="18" t="n">
        <x:v>0.826047956943512</x:v>
      </x:c>
      <x:c r="R117" t="n">
        <x:v>25</x:v>
      </x:c>
      <x:c r="S117" t="n">
        <x:v>4</x:v>
      </x:c>
      <x:c r="T117" s="19" t="n">
        <x:v>0.000012083628462278284</x:v>
      </x:c>
    </x:row>
    <x:row r="118">
      <x:c r="A118" t="str">
        <x:v>SA-RE</x:v>
      </x:c>
      <x:c r="B118" t="n">
        <x:v>2702</x:v>
      </x:c>
      <x:c r="C118" t="n">
        <x:v>20260853</x:v>
      </x:c>
      <x:c r="D118" t="n">
        <x:v>27</x:v>
      </x:c>
      <x:c r="E118" t="n">
        <x:v>30</x:v>
      </x:c>
      <x:c r="F118" t="str">
        <x:v>evolution</x:v>
      </x:c>
      <x:c r="G118" t="str">
        <x:v>{"normal":{"pairs":[{"branch_1":{"input_state":0,"op":"sep_conv_5x5"},"branch_2":{"input_state":0,"op":"max_pool_3x3"}},{"branch_1":{"input_state":1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H118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I118" t="str">
        <x:v>hidden_state</x:v>
      </x:c>
      <x:c r="J118" s="15" t="n">
        <x:v>0.813</x:v>
      </x:c>
      <x:c r="K118" s="15" t="n">
        <x:v>0.813</x:v>
      </x:c>
      <x:c r="L118" s="15" t="n">
        <x:v>0.813</x:v>
      </x:c>
      <x:c r="M118" s="15" t="n">
        <x:v>0.813</x:v>
      </x:c>
      <x:c r="N118" s="16" t="n">
        <x:v>632326</x:v>
      </x:c>
      <x:c r="O118" s="17" t="n">
        <x:v>109.39018839999336</x:v>
      </x:c>
      <x:c r="P118" t="str">
        <x:v>{"ages_in_evaluations":[19,18,17,16,15,14,13,12,11,10,9,8,7,6,5,4,3,2,1,0],"oldest_to_youngest_evaluation_indices":[8,9,10,11,12,13,14,15,16,17,18,19,20,21,22,23,24,25,26,27]}</x:v>
      </x:c>
      <x:c r="Q118" s="18" t="n">
        <x:v>0.819709300994873</x:v>
      </x:c>
      <x:c r="R118" t="n">
        <x:v>26</x:v>
      </x:c>
      <x:c r="S118" t="n">
        <x:v>3</x:v>
      </x:c>
      <x:c r="T118" s="19" t="n">
        <x:v>0.000017245121853193268</x:v>
      </x:c>
    </x:row>
    <x:row r="119">
      <x:c r="A119" t="str">
        <x:v>SA-RE</x:v>
      </x:c>
      <x:c r="B119" t="n">
        <x:v>2702</x:v>
      </x:c>
      <x:c r="C119" t="n">
        <x:v>20260854</x:v>
      </x:c>
      <x:c r="D119" t="n">
        <x:v>28</x:v>
      </x:c>
      <x:c r="E119" t="n">
        <x:v>30</x:v>
      </x:c>
      <x:c r="F119" t="str">
        <x:v>evolution</x:v>
      </x:c>
      <x:c r="G119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0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conv_1x7_7x1"}},{"branch_1":{"input_state":2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H119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0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2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I119" t="str">
        <x:v>operation</x:v>
      </x:c>
      <x:c r="J119" s="15" t="n">
        <x:v>0.803</x:v>
      </x:c>
      <x:c r="K119" s="15" t="n">
        <x:v>0.803</x:v>
      </x:c>
      <x:c r="L119" s="15" t="n">
        <x:v>0.803</x:v>
      </x:c>
      <x:c r="M119" s="15" t="n">
        <x:v>0.803</x:v>
      </x:c>
      <x:c r="N119" s="16" t="n">
        <x:v>691966</x:v>
      </x:c>
      <x:c r="O119" s="17" t="n">
        <x:v>114.68306290000328</x:v>
      </x:c>
      <x:c r="P119" t="str">
        <x:v>{"ages_in_evaluations":[19,18,17,16,15,14,13,12,11,10,9,8,7,6,5,4,3,2,1,0],"oldest_to_youngest_evaluation_indices":[9,10,11,12,13,14,15,16,17,18,19,20,21,22,23,24,25,26,27,28]}</x:v>
      </x:c>
      <x:c r="Q119" s="18" t="n">
        <x:v>0.837950587272644</x:v>
      </x:c>
      <x:c r="R119" t="n">
        <x:v>27</x:v>
      </x:c>
      <x:c r="S119" t="n">
        <x:v>4</x:v>
      </x:c>
      <x:c r="T119" s="19" t="n">
        <x:v>0.000018085793271893635</x:v>
      </x:c>
    </x:row>
    <x:row r="120">
      <x:c r="A120" t="str">
        <x:v>SA-RE</x:v>
      </x:c>
      <x:c r="B120" t="n">
        <x:v>2702</x:v>
      </x:c>
      <x:c r="C120" t="n">
        <x:v>20260855</x:v>
      </x:c>
      <x:c r="D120" t="n">
        <x:v>29</x:v>
      </x:c>
      <x:c r="E120" t="n">
        <x:v>30</x:v>
      </x:c>
      <x:c r="F120" t="str">
        <x:v>evolution</x:v>
      </x:c>
      <x:c r="G120" t="str">
        <x:v>{"normal":{"pairs":[{"branch_1":{"input_state":0,"op":"dil_sep_conv_3x3"},"branch_2":{"input_state":0,"op":"conv_1x7_7x1"}},{"branch_1":{"input_state":1,"op":"identity"},"branch_2":{"input_state":1,"op":"avg_pool_3x3"}},{"branch_1":{"input_state":0,"op":"max_pool_3x3"},"branch_2":{"input_state":0,"op":"avg_pool_3x3"}},{"branch_1":{"input_state":1,"op":"avg_pool_3x3"},"branch_2":{"input_state":2,"op":"sep_conv_3x3"}},{"branch_1":{"input_state":1,"op":"sep_conv_5x5"},"branch_2":{"input_state":1,"op":"conv_1x7_7x1"}}]},"reduction":{"pairs":[{"branch_1":{"input_state":0,"op":"conv_1x7_7x1"},"branch_2":{"input_state":1,"op":"dil_sep_conv_3x3"}},{"branch_1":{"input_state":0,"op":"conv_1x7_7x1"},"branch_2":{"input_state":0,"op":"sep_conv_5x5"}},{"branch_1":{"input_state":0,"op":"sep_conv_5x5"},"branch_2":{"input_state":1,"op":"sep_conv_3x3"}},{"branch_1":{"input_state":1,"op":"max_pool_3x3"},"branch_2":{"input_state":0,"op":"avg_pool_3x3"}},{"branch_1":{"input_state":1,"op":"dil_sep_conv_3x3"},"branch_2":{"input_state":2,"op":"sep_conv_3x3"}}]}}</x:v>
      </x:c>
      <x:c r="H120" t="str">
        <x:v>{"normal":{"pairs":[{"branch_1":{"input_state":0,"op":"dil_sep_conv_3x3"},"branch_2":{"input_state":0,"op":"conv_1x7_7x1"}},{"branch_1":{"input_state":1,"op":"identity"},"branch_2":{"input_state":1,"op":"avg_pool_3x3"}},{"branch_1":{"input_state":0,"op":"max_pool_3x3"},"branch_2":{"input_state":0,"op":"avg_pool_3x3"}},{"branch_1":{"input_state":1,"op":"avg_pool_3x3"},"branch_2":{"input_state":2,"op":"sep_conv_3x3"}},{"branch_1":{"input_state":1,"op":"sep_conv_5x5"},"branch_2":{"input_state":1,"op":"conv_1x7_7x1"}}]},"reduction":{"pairs":[{"branch_1":{"input_state":0,"op":"conv_1x7_7x1"},"branch_2":{"input_state":0,"op":"dil_sep_conv_3x3"}},{"branch_1":{"input_state":0,"op":"conv_1x7_7x1"},"branch_2":{"input_state":0,"op":"sep_conv_5x5"}},{"branch_1":{"input_state":0,"op":"sep_conv_5x5"},"branch_2":{"input_state":1,"op":"sep_conv_3x3"}},{"branch_1":{"input_state":1,"op":"max_pool_3x3"},"branch_2":{"input_state":0,"op":"avg_pool_3x3"}},{"branch_1":{"input_state":1,"op":"dil_sep_conv_3x3"},"branch_2":{"input_state":2,"op":"sep_conv_3x3"}}]}}</x:v>
      </x:c>
      <x:c r="I120" t="str">
        <x:v>hidden_state</x:v>
      </x:c>
      <x:c r="J120" s="15" t="n">
        <x:v>0.8138</x:v>
      </x:c>
      <x:c r="K120" s="15" t="n">
        <x:v>0.8138</x:v>
      </x:c>
      <x:c r="L120" s="15" t="n">
        <x:v>0.8138</x:v>
      </x:c>
      <x:c r="M120" s="15" t="n">
        <x:v>0.8138</x:v>
      </x:c>
      <x:c r="N120" s="16" t="n">
        <x:v>889738</x:v>
      </x:c>
      <x:c r="O120" s="17" t="n">
        <x:v>133.706367900013</x:v>
      </x:c>
      <x:c r="P120" t="str">
        <x:v>{"ages_in_evaluations":[19,18,17,16,15,14,13,12,11,10,9,8,7,6,5,4,3,2,1,0],"oldest_to_youngest_evaluation_indices":[10,11,12,13,14,15,16,17,18,19,20,21,22,23,24,25,26,27,28,29]}</x:v>
      </x:c>
      <x:c r="Q120" s="18" t="n">
        <x:v>0.8162235021591187</x:v>
      </x:c>
      <x:c r="R120" t="n">
        <x:v>28</x:v>
      </x:c>
      <x:c r="S120" t="n">
        <x:v>4</x:v>
      </x:c>
      <x:c r="T120" s="19" t="n">
        <x:v>0.000036914414522470906</x:v>
      </x:c>
    </x:row>
    <x:row r="121">
      <x:c r="A121" t="str">
        <x:v>SA-RE</x:v>
      </x:c>
      <x:c r="B121" t="n">
        <x:v>2702</x:v>
      </x:c>
      <x:c r="C121" t="n">
        <x:v>20260856</x:v>
      </x:c>
      <x:c r="D121" t="n">
        <x:v>30</x:v>
      </x:c>
      <x:c r="E121" t="n">
        <x:v>30</x:v>
      </x:c>
      <x:c r="F121" t="str">
        <x:v>evolution</x:v>
      </x:c>
      <x:c r="G121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dil_sep_conv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H121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I121" t="str">
        <x:v>operation</x:v>
      </x:c>
      <x:c r="J121" s="15" t="n">
        <x:v>0.817</x:v>
      </x:c>
      <x:c r="K121" s="15" t="n">
        <x:v>0.817</x:v>
      </x:c>
      <x:c r="L121" s="15" t="n">
        <x:v>0.817</x:v>
      </x:c>
      <x:c r="M121" s="15" t="n">
        <x:v>0.817</x:v>
      </x:c>
      <x:c r="N121" s="16" t="n">
        <x:v>724870</x:v>
      </x:c>
      <x:c r="O121" s="17" t="n">
        <x:v>112.14673979999498</x:v>
      </x:c>
      <x:c r="P121" t="str">
        <x:v>{"ages_in_evaluations":[19,18,17,16,15,14,13,12,11,10,9,8,7,6,5,4,3,2,1,0],"oldest_to_youngest_evaluation_indices":[11,12,13,14,15,16,17,18,19,20,21,22,23,24,25,26,27,28,29,30]}</x:v>
      </x:c>
      <x:c r="Q121" s="18" t="n">
        <x:v>0.8318125009536743</x:v>
      </x:c>
      <x:c r="R121" t="n">
        <x:v>29</x:v>
      </x:c>
      <x:c r="S121" t="n">
        <x:v>1</x:v>
      </x:c>
      <x:c r="T121" s="19" t="n">
        <x:v>0.000034236425562994555</x:v>
      </x:c>
    </x:row>
  </x:sheetData>
  <x:pageMargins left="0.7" right="0.7" top="0.75" bottom="0.75" header="0.3" footer="0.3"/>
  <x:tableParts count="1">
    <x:tablePart xmlns:r="http://schemas.openxmlformats.org/officeDocument/2006/relationships" r:id="R592a09b68aa04d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15" hidden="0" customWidth="1"/>
    <x:col min="7" max="7" width="34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12" t="str">
        <x:v>method</x:v>
      </x:c>
      <x:c r="B1" s="13" t="str">
        <x:v>search_seed</x:v>
      </x:c>
      <x:c r="C1" s="13" t="str">
        <x:v>evaluation_index</x:v>
      </x:c>
      <x:c r="D1" s="13" t="str">
        <x:v>parent_evaluation_index</x:v>
      </x:c>
      <x:c r="E1" s="13" t="str">
        <x:v>parent_architecture</x:v>
      </x:c>
      <x:c r="F1" s="13" t="str">
        <x:v>candidate_index</x:v>
      </x:c>
      <x:c r="G1" s="13" t="str">
        <x:v>candidate_architecture</x:v>
      </x:c>
      <x:c r="H1" s="13" t="str">
        <x:v>mutation_type</x:v>
      </x:c>
      <x:c r="I1" s="13" t="str">
        <x:v>predicted_mu</x:v>
      </x:c>
      <x:c r="J1" s="13" t="str">
        <x:v>selected</x:v>
      </x:c>
      <x:c r="K1" s="13" t="str">
        <x:v>surrogate_training_size</x:v>
      </x:c>
      <x:c r="L1" s="14" t="str">
        <x:v>surrogate_training_mse</x:v>
      </x:c>
    </x:row>
    <x:row r="2">
      <x:c r="A2" t="str">
        <x:v>SA-RE</x:v>
      </x:c>
      <x:c r="B2" t="n">
        <x:v>2701</x:v>
      </x:c>
      <x:c r="C2" t="n">
        <x:v>21</x:v>
      </x:c>
      <x:c r="D2" t="n">
        <x:v>19</x:v>
      </x:c>
      <x:c r="E2" t="str">
        <x:v>{"normal":{"pairs":[{"branch_1":{"input_state":1,"op":"sep_conv_5x5"},"branch_2":{"input_state":0,"op":"dil_sep_conv_3x3"}},{"branch_1":{"input_state":2,"op":"dil_sep_conv_3x3"},"branch_2":{"input_state":1,"op":"sep_conv_3x3"}},{"branch_1":{"input_state":0,"op":"dil_sep_conv_3x3"},"branch_2":{"input_state":3,"op":"max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5x5"},"branch_2":{"input_state":1,"op":"max_pool_3x3"}}]}}</x:v>
      </x:c>
      <x:c r="F2" t="n">
        <x:v>0</x:v>
      </x:c>
      <x:c r="G2" t="str">
        <x:v>{"normal":{"pairs":[{"branch_1":{"input_state":1,"op":"sep_conv_5x5"},"branch_2":{"input_state":0,"op":"dil_sep_conv_3x3"}},{"branch_1":{"input_state":2,"op":"dil_sep_conv_3x3"},"branch_2":{"input_state":1,"op":"sep_conv_3x3"}},{"branch_1":{"input_state":0,"op":"dil_sep_conv_3x3"},"branch_2":{"input_state":3,"op":"avg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5x5"},"branch_2":{"input_state":1,"op":"max_pool_3x3"}}]}}</x:v>
      </x:c>
      <x:c r="H2" t="str">
        <x:v>operation</x:v>
      </x:c>
      <x:c r="I2" s="18" t="n">
        <x:v>0.7692680954933167</x:v>
      </x:c>
      <x:c r="J2" s="23" t="b">
        <x:v>0</x:v>
      </x:c>
      <x:c r="K2" t="n">
        <x:v>20</x:v>
      </x:c>
      <x:c r="L2" s="19" t="n">
        <x:v>6.3343508216462405e-9</x:v>
      </x:c>
    </x:row>
    <x:row r="3">
      <x:c r="A3" t="str">
        <x:v>SA-RE</x:v>
      </x:c>
      <x:c r="B3" t="n">
        <x:v>2701</x:v>
      </x:c>
      <x:c r="C3" t="n">
        <x:v>21</x:v>
      </x:c>
      <x:c r="D3" t="n">
        <x:v>19</x:v>
      </x:c>
      <x:c r="E3" t="str">
        <x:v>{"normal":{"pairs":[{"branch_1":{"input_state":1,"op":"sep_conv_5x5"},"branch_2":{"input_state":0,"op":"dil_sep_conv_3x3"}},{"branch_1":{"input_state":2,"op":"dil_sep_conv_3x3"},"branch_2":{"input_state":1,"op":"sep_conv_3x3"}},{"branch_1":{"input_state":0,"op":"dil_sep_conv_3x3"},"branch_2":{"input_state":3,"op":"max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5x5"},"branch_2":{"input_state":1,"op":"max_pool_3x3"}}]}}</x:v>
      </x:c>
      <x:c r="F3" t="n">
        <x:v>1</x:v>
      </x:c>
      <x:c r="G3" t="str">
        <x:v>{"normal":{"pairs":[{"branch_1":{"input_state":1,"op":"sep_conv_5x5"},"branch_2":{"input_state":0,"op":"dil_sep_conv_3x3"}},{"branch_1":{"input_state":2,"op":"dil_sep_conv_3x3"},"branch_2":{"input_state":1,"op":"sep_conv_3x3"}},{"branch_1":{"input_state":0,"op":"dil_sep_conv_3x3"},"branch_2":{"input_state":3,"op":"max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2,"op":"sep_conv_3x3"}},{"branch_1":{"input_state":0,"op":"conv_1x7_7x1"},"branch_2":{"input_state":3,"op":"conv_1x7_7x1"}},{"branch_1":{"input_state":4,"op":"identity"},"branch_2":{"input_state":2,"op":"max_pool_3x3"}},{"branch_1":{"input_state":1,"op":"sep_conv_5x5"},"branch_2":{"input_state":1,"op":"max_pool_3x3"}}]}}</x:v>
      </x:c>
      <x:c r="H3" t="str">
        <x:v>hidden_state</x:v>
      </x:c>
      <x:c r="I3" s="18" t="n">
        <x:v>0.7559704184532166</x:v>
      </x:c>
      <x:c r="J3" s="23" t="b">
        <x:v>0</x:v>
      </x:c>
      <x:c r="K3" t="n">
        <x:v>20</x:v>
      </x:c>
      <x:c r="L3" s="19" t="n">
        <x:v>6.3343508216462405e-9</x:v>
      </x:c>
    </x:row>
    <x:row r="4">
      <x:c r="A4" t="str">
        <x:v>SA-RE</x:v>
      </x:c>
      <x:c r="B4" t="n">
        <x:v>2701</x:v>
      </x:c>
      <x:c r="C4" t="n">
        <x:v>21</x:v>
      </x:c>
      <x:c r="D4" t="n">
        <x:v>19</x:v>
      </x:c>
      <x:c r="E4" t="str">
        <x:v>{"normal":{"pairs":[{"branch_1":{"input_state":1,"op":"sep_conv_5x5"},"branch_2":{"input_state":0,"op":"dil_sep_conv_3x3"}},{"branch_1":{"input_state":2,"op":"dil_sep_conv_3x3"},"branch_2":{"input_state":1,"op":"sep_conv_3x3"}},{"branch_1":{"input_state":0,"op":"dil_sep_conv_3x3"},"branch_2":{"input_state":3,"op":"max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5x5"},"branch_2":{"input_state":1,"op":"max_pool_3x3"}}]}}</x:v>
      </x:c>
      <x:c r="F4" t="n">
        <x:v>2</x:v>
      </x:c>
      <x:c r="G4" t="str">
        <x:v>{"normal":{"pairs":[{"branch_1":{"input_state":1,"op":"sep_conv_5x5"},"branch_2":{"input_state":0,"op":"dil_sep_conv_3x3"}},{"branch_1":{"input_state":2,"op":"dil_sep_conv_3x3"},"branch_2":{"input_state":1,"op":"sep_conv_3x3"}},{"branch_1":{"input_state":0,"op":"dil_sep_conv_3x3"},"branch_2":{"input_state":3,"op":"max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avg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5x5"},"branch_2":{"input_state":1,"op":"max_pool_3x3"}}]}}</x:v>
      </x:c>
      <x:c r="H4" t="str">
        <x:v>operation</x:v>
      </x:c>
      <x:c r="I4" s="18" t="n">
        <x:v>0.7630028128623962</x:v>
      </x:c>
      <x:c r="J4" s="23" t="b">
        <x:v>0</x:v>
      </x:c>
      <x:c r="K4" t="n">
        <x:v>20</x:v>
      </x:c>
      <x:c r="L4" s="19" t="n">
        <x:v>6.3343508216462405e-9</x:v>
      </x:c>
    </x:row>
    <x:row r="5">
      <x:c r="A5" t="str">
        <x:v>SA-RE</x:v>
      </x:c>
      <x:c r="B5" t="n">
        <x:v>2701</x:v>
      </x:c>
      <x:c r="C5" t="n">
        <x:v>21</x:v>
      </x:c>
      <x:c r="D5" t="n">
        <x:v>19</x:v>
      </x:c>
      <x:c r="E5" t="str">
        <x:v>{"normal":{"pairs":[{"branch_1":{"input_state":1,"op":"sep_conv_5x5"},"branch_2":{"input_state":0,"op":"dil_sep_conv_3x3"}},{"branch_1":{"input_state":2,"op":"dil_sep_conv_3x3"},"branch_2":{"input_state":1,"op":"sep_conv_3x3"}},{"branch_1":{"input_state":0,"op":"dil_sep_conv_3x3"},"branch_2":{"input_state":3,"op":"max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5x5"},"branch_2":{"input_state":1,"op":"max_pool_3x3"}}]}}</x:v>
      </x:c>
      <x:c r="F5" t="n">
        <x:v>3</x:v>
      </x:c>
      <x:c r="G5" t="str">
        <x:v>{"normal":{"pairs":[{"branch_1":{"input_state":1,"op":"sep_conv_5x5"},"branch_2":{"input_state":0,"op":"dil_sep_conv_3x3"}},{"branch_1":{"input_state":2,"op":"dil_sep_conv_3x3"},"branch_2":{"input_state":1,"op":"sep_conv_3x3"}},{"branch_1":{"input_state":0,"op":"dil_sep_conv_3x3"},"branch_2":{"input_state":3,"op":"max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7x7"},"branch_2":{"input_state":1,"op":"max_pool_3x3"}}]}}</x:v>
      </x:c>
      <x:c r="H5" t="str">
        <x:v>operation</x:v>
      </x:c>
      <x:c r="I5" s="18" t="n">
        <x:v>0.7818431258201599</x:v>
      </x:c>
      <x:c r="J5" s="23" t="b">
        <x:v>1</x:v>
      </x:c>
      <x:c r="K5" t="n">
        <x:v>20</x:v>
      </x:c>
      <x:c r="L5" s="19" t="n">
        <x:v>6.3343508216462405e-9</x:v>
      </x:c>
    </x:row>
    <x:row r="6">
      <x:c r="A6" t="str">
        <x:v>SA-RE</x:v>
      </x:c>
      <x:c r="B6" t="n">
        <x:v>2701</x:v>
      </x:c>
      <x:c r="C6" t="n">
        <x:v>21</x:v>
      </x:c>
      <x:c r="D6" t="n">
        <x:v>19</x:v>
      </x:c>
      <x:c r="E6" t="str">
        <x:v>{"normal":{"pairs":[{"branch_1":{"input_state":1,"op":"sep_conv_5x5"},"branch_2":{"input_state":0,"op":"dil_sep_conv_3x3"}},{"branch_1":{"input_state":2,"op":"dil_sep_conv_3x3"},"branch_2":{"input_state":1,"op":"sep_conv_3x3"}},{"branch_1":{"input_state":0,"op":"dil_sep_conv_3x3"},"branch_2":{"input_state":3,"op":"max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5x5"},"branch_2":{"input_state":1,"op":"max_pool_3x3"}}]}}</x:v>
      </x:c>
      <x:c r="F6" t="n">
        <x:v>4</x:v>
      </x:c>
      <x:c r="G6" t="str">
        <x:v>{"normal":{"pairs":[{"branch_1":{"input_state":1,"op":"sep_conv_5x5"},"branch_2":{"input_state":0,"op":"dil_sep_conv_3x3"}},{"branch_1":{"input_state":2,"op":"dil_sep_conv_3x3"},"branch_2":{"input_state":1,"op":"sep_conv_3x3"}},{"branch_1":{"input_state":0,"op":"dil_sep_conv_3x3"},"branch_2":{"input_state":3,"op":"max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5x5"},"branch_2":{"input_state":1,"op":"dil_sep_conv_3x3"}}]}}</x:v>
      </x:c>
      <x:c r="H6" t="str">
        <x:v>operation</x:v>
      </x:c>
      <x:c r="I6" s="18" t="n">
        <x:v>0.7581802010536194</x:v>
      </x:c>
      <x:c r="J6" s="23" t="b">
        <x:v>0</x:v>
      </x:c>
      <x:c r="K6" t="n">
        <x:v>20</x:v>
      </x:c>
      <x:c r="L6" s="19" t="n">
        <x:v>6.3343508216462405e-9</x:v>
      </x:c>
    </x:row>
    <x:row r="7">
      <x:c r="A7" t="str">
        <x:v>SA-RE</x:v>
      </x:c>
      <x:c r="B7" t="n">
        <x:v>2701</x:v>
      </x:c>
      <x:c r="C7" t="n">
        <x:v>22</x:v>
      </x:c>
      <x:c r="D7" t="n">
        <x:v>19</x:v>
      </x:c>
      <x:c r="E7" t="str">
        <x:v>{"normal":{"pairs":[{"branch_1":{"input_state":1,"op":"sep_conv_5x5"},"branch_2":{"input_state":0,"op":"dil_sep_conv_3x3"}},{"branch_1":{"input_state":2,"op":"dil_sep_conv_3x3"},"branch_2":{"input_state":1,"op":"sep_conv_3x3"}},{"branch_1":{"input_state":0,"op":"dil_sep_conv_3x3"},"branch_2":{"input_state":3,"op":"max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5x5"},"branch_2":{"input_state":1,"op":"max_pool_3x3"}}]}}</x:v>
      </x:c>
      <x:c r="F7" t="n">
        <x:v>0</x:v>
      </x:c>
      <x:c r="G7" t="str">
        <x:v>{"normal":{"pairs":[{"branch_1":{"input_state":0,"op":"sep_conv_5x5"},"branch_2":{"input_state":0,"op":"dil_sep_conv_3x3"}},{"branch_1":{"input_state":2,"op":"dil_sep_conv_3x3"},"branch_2":{"input_state":1,"op":"sep_conv_3x3"}},{"branch_1":{"input_state":0,"op":"dil_sep_conv_3x3"},"branch_2":{"input_state":3,"op":"max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5x5"},"branch_2":{"input_state":1,"op":"max_pool_3x3"}}]}}</x:v>
      </x:c>
      <x:c r="H7" t="str">
        <x:v>hidden_state</x:v>
      </x:c>
      <x:c r="I7" s="18" t="n">
        <x:v>0.7641772031784058</x:v>
      </x:c>
      <x:c r="J7" s="23" t="b">
        <x:v>1</x:v>
      </x:c>
      <x:c r="K7" t="n">
        <x:v>21</x:v>
      </x:c>
      <x:c r="L7" s="19" t="n">
        <x:v>0.000003605447318477673</x:v>
      </x:c>
    </x:row>
    <x:row r="8">
      <x:c r="A8" t="str">
        <x:v>SA-RE</x:v>
      </x:c>
      <x:c r="B8" t="n">
        <x:v>2701</x:v>
      </x:c>
      <x:c r="C8" t="n">
        <x:v>22</x:v>
      </x:c>
      <x:c r="D8" t="n">
        <x:v>19</x:v>
      </x:c>
      <x:c r="E8" t="str">
        <x:v>{"normal":{"pairs":[{"branch_1":{"input_state":1,"op":"sep_conv_5x5"},"branch_2":{"input_state":0,"op":"dil_sep_conv_3x3"}},{"branch_1":{"input_state":2,"op":"dil_sep_conv_3x3"},"branch_2":{"input_state":1,"op":"sep_conv_3x3"}},{"branch_1":{"input_state":0,"op":"dil_sep_conv_3x3"},"branch_2":{"input_state":3,"op":"max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5x5"},"branch_2":{"input_state":1,"op":"max_pool_3x3"}}]}}</x:v>
      </x:c>
      <x:c r="F8" t="n">
        <x:v>1</x:v>
      </x:c>
      <x:c r="G8" t="str">
        <x:v>{"normal":{"pairs":[{"branch_1":{"input_state":1,"op":"sep_conv_5x5"},"branch_2":{"input_state":0,"op":"dil_sep_conv_3x3"}},{"branch_1":{"input_state":2,"op":"dil_sep_conv_3x3"},"branch_2":{"input_state":1,"op":"sep_conv_3x3"}},{"branch_1":{"input_state":0,"op":"dil_sep_conv_3x3"},"branch_2":{"input_state":3,"op":"max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0,"op":"sep_conv_3x3"}},{"branch_1":{"input_state":2,"op":"conv_1x7_7x1"},"branch_2":{"input_state":3,"op":"conv_1x7_7x1"}},{"branch_1":{"input_state":4,"op":"identity"},"branch_2":{"input_state":2,"op":"max_pool_3x3"}},{"branch_1":{"input_state":1,"op":"sep_conv_5x5"},"branch_2":{"input_state":1,"op":"max_pool_3x3"}}]}}</x:v>
      </x:c>
      <x:c r="H8" t="str">
        <x:v>hidden_state</x:v>
      </x:c>
      <x:c r="I8" s="18" t="n">
        <x:v>0.7288125157356262</x:v>
      </x:c>
      <x:c r="J8" s="23" t="b">
        <x:v>0</x:v>
      </x:c>
      <x:c r="K8" t="n">
        <x:v>21</x:v>
      </x:c>
      <x:c r="L8" s="19" t="n">
        <x:v>0.000003605447318477673</x:v>
      </x:c>
    </x:row>
    <x:row r="9">
      <x:c r="A9" t="str">
        <x:v>SA-RE</x:v>
      </x:c>
      <x:c r="B9" t="n">
        <x:v>2701</x:v>
      </x:c>
      <x:c r="C9" t="n">
        <x:v>22</x:v>
      </x:c>
      <x:c r="D9" t="n">
        <x:v>19</x:v>
      </x:c>
      <x:c r="E9" t="str">
        <x:v>{"normal":{"pairs":[{"branch_1":{"input_state":1,"op":"sep_conv_5x5"},"branch_2":{"input_state":0,"op":"dil_sep_conv_3x3"}},{"branch_1":{"input_state":2,"op":"dil_sep_conv_3x3"},"branch_2":{"input_state":1,"op":"sep_conv_3x3"}},{"branch_1":{"input_state":0,"op":"dil_sep_conv_3x3"},"branch_2":{"input_state":3,"op":"max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5x5"},"branch_2":{"input_state":1,"op":"max_pool_3x3"}}]}}</x:v>
      </x:c>
      <x:c r="F9" t="n">
        <x:v>2</x:v>
      </x:c>
      <x:c r="G9" t="str">
        <x:v>{"normal":{"pairs":[{"branch_1":{"input_state":1,"op":"sep_conv_5x5"},"branch_2":{"input_state":0,"op":"dil_sep_conv_3x3"}},{"branch_1":{"input_state":2,"op":"dil_sep_conv_3x3"},"branch_2":{"input_state":1,"op":"sep_conv_3x3"}},{"branch_1":{"input_state":0,"op":"dil_sep_conv_3x3"},"branch_2":{"input_state":3,"op":"max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5x5"},"branch_2":{"input_state":1,"op":"max_pool_3x3"}}]}}</x:v>
      </x:c>
      <x:c r="H9" t="str">
        <x:v>identity</x:v>
      </x:c>
      <x:c r="I9" s="18" t="n">
        <x:v>0.7524956464767456</x:v>
      </x:c>
      <x:c r="J9" s="23" t="b">
        <x:v>0</x:v>
      </x:c>
      <x:c r="K9" t="n">
        <x:v>21</x:v>
      </x:c>
      <x:c r="L9" s="19" t="n">
        <x:v>0.000003605447318477673</x:v>
      </x:c>
    </x:row>
    <x:row r="10">
      <x:c r="A10" t="str">
        <x:v>SA-RE</x:v>
      </x:c>
      <x:c r="B10" t="n">
        <x:v>2701</x:v>
      </x:c>
      <x:c r="C10" t="n">
        <x:v>22</x:v>
      </x:c>
      <x:c r="D10" t="n">
        <x:v>19</x:v>
      </x:c>
      <x:c r="E10" t="str">
        <x:v>{"normal":{"pairs":[{"branch_1":{"input_state":1,"op":"sep_conv_5x5"},"branch_2":{"input_state":0,"op":"dil_sep_conv_3x3"}},{"branch_1":{"input_state":2,"op":"dil_sep_conv_3x3"},"branch_2":{"input_state":1,"op":"sep_conv_3x3"}},{"branch_1":{"input_state":0,"op":"dil_sep_conv_3x3"},"branch_2":{"input_state":3,"op":"max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5x5"},"branch_2":{"input_state":1,"op":"max_pool_3x3"}}]}}</x:v>
      </x:c>
      <x:c r="F10" t="n">
        <x:v>3</x:v>
      </x:c>
      <x:c r="G10" t="str">
        <x:v>{"normal":{"pairs":[{"branch_1":{"input_state":1,"op":"sep_conv_5x5"},"branch_2":{"input_state":0,"op":"dil_sep_conv_3x3"}},{"branch_1":{"input_state":2,"op":"dil_sep_conv_3x3"},"branch_2":{"input_state":1,"op":"conv_1x7_7x1"}},{"branch_1":{"input_state":0,"op":"dil_sep_conv_3x3"},"branch_2":{"input_state":3,"op":"max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5x5"},"branch_2":{"input_state":1,"op":"max_pool_3x3"}}]}}</x:v>
      </x:c>
      <x:c r="H10" t="str">
        <x:v>operation</x:v>
      </x:c>
      <x:c r="I10" s="18" t="n">
        <x:v>0.746506929397583</x:v>
      </x:c>
      <x:c r="J10" s="23" t="b">
        <x:v>0</x:v>
      </x:c>
      <x:c r="K10" t="n">
        <x:v>21</x:v>
      </x:c>
      <x:c r="L10" s="19" t="n">
        <x:v>0.000003605447318477673</x:v>
      </x:c>
    </x:row>
    <x:row r="11">
      <x:c r="A11" t="str">
        <x:v>SA-RE</x:v>
      </x:c>
      <x:c r="B11" t="n">
        <x:v>2701</x:v>
      </x:c>
      <x:c r="C11" t="n">
        <x:v>22</x:v>
      </x:c>
      <x:c r="D11" t="n">
        <x:v>19</x:v>
      </x:c>
      <x:c r="E11" t="str">
        <x:v>{"normal":{"pairs":[{"branch_1":{"input_state":1,"op":"sep_conv_5x5"},"branch_2":{"input_state":0,"op":"dil_sep_conv_3x3"}},{"branch_1":{"input_state":2,"op":"dil_sep_conv_3x3"},"branch_2":{"input_state":1,"op":"sep_conv_3x3"}},{"branch_1":{"input_state":0,"op":"dil_sep_conv_3x3"},"branch_2":{"input_state":3,"op":"max_pool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5x5"},"branch_2":{"input_state":1,"op":"max_pool_3x3"}}]}}</x:v>
      </x:c>
      <x:c r="F11" t="n">
        <x:v>4</x:v>
      </x:c>
      <x:c r="G11" t="str">
        <x:v>{"normal":{"pairs":[{"branch_1":{"input_state":1,"op":"sep_conv_5x5"},"branch_2":{"input_state":0,"op":"dil_sep_conv_3x3"}},{"branch_1":{"input_state":2,"op":"dil_sep_conv_3x3"},"branch_2":{"input_state":1,"op":"sep_conv_3x3"}},{"branch_1":{"input_state":0,"op":"dil_sep_conv_3x3"},"branch_2":{"input_state":3,"op":"dil_sep_conv_3x3"}},{"branch_1":{"input_state":0,"op":"identity"},"branch_2":{"input_state":2,"op":"max_pool_3x3"}},{"branch_1":{"input_state":3,"op":"identity"},"branch_2":{"input_state":2,"op":"avg_pool_3x3"}}]},"reduction":{"pairs":[{"branch_1":{"input_state":1,"op":"identity"},"branch_2":{"input_state":0,"op":"max_pool_3x3"}},{"branch_1":{"input_state":2,"op":"dil_sep_conv_3x3"},"branch_2":{"input_state":2,"op":"sep_conv_3x3"}},{"branch_1":{"input_state":2,"op":"conv_1x7_7x1"},"branch_2":{"input_state":3,"op":"conv_1x7_7x1"}},{"branch_1":{"input_state":4,"op":"identity"},"branch_2":{"input_state":2,"op":"max_pool_3x3"}},{"branch_1":{"input_state":1,"op":"sep_conv_5x5"},"branch_2":{"input_state":1,"op":"max_pool_3x3"}}]}}</x:v>
      </x:c>
      <x:c r="H11" t="str">
        <x:v>operation</x:v>
      </x:c>
      <x:c r="I11" s="18" t="n">
        <x:v>0.754574716091156</x:v>
      </x:c>
      <x:c r="J11" s="23" t="b">
        <x:v>0</x:v>
      </x:c>
      <x:c r="K11" t="n">
        <x:v>21</x:v>
      </x:c>
      <x:c r="L11" s="19" t="n">
        <x:v>0.000003605447318477673</x:v>
      </x:c>
    </x:row>
    <x:row r="12">
      <x:c r="A12" t="str">
        <x:v>SA-RE</x:v>
      </x:c>
      <x:c r="B12" t="n">
        <x:v>2701</x:v>
      </x:c>
      <x:c r="C12" t="n">
        <x:v>23</x:v>
      </x:c>
      <x:c r="D12" t="n">
        <x:v>17</x:v>
      </x:c>
      <x:c r="E12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F12" t="n">
        <x:v>0</x:v>
      </x:c>
      <x:c r="G12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2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H12" t="str">
        <x:v>hidden_state</x:v>
      </x:c>
      <x:c r="I12" s="18" t="n">
        <x:v>0.8131320476531982</x:v>
      </x:c>
      <x:c r="J12" s="23" t="b">
        <x:v>0</x:v>
      </x:c>
      <x:c r="K12" t="n">
        <x:v>22</x:v>
      </x:c>
      <x:c r="L12" s="19" t="n">
        <x:v>0.000007618761628691573</x:v>
      </x:c>
    </x:row>
    <x:row r="13">
      <x:c r="A13" t="str">
        <x:v>SA-RE</x:v>
      </x:c>
      <x:c r="B13" t="n">
        <x:v>2701</x:v>
      </x:c>
      <x:c r="C13" t="n">
        <x:v>23</x:v>
      </x:c>
      <x:c r="D13" t="n">
        <x:v>17</x:v>
      </x:c>
      <x:c r="E13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F13" t="n">
        <x:v>1</x:v>
      </x:c>
      <x:c r="G13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avg_pool_3x3"},"branch_2":{"input_state":5,"op":"identity"}}]}}</x:v>
      </x:c>
      <x:c r="H13" t="str">
        <x:v>operation</x:v>
      </x:c>
      <x:c r="I13" s="18" t="n">
        <x:v>0.8299126625061035</x:v>
      </x:c>
      <x:c r="J13" s="23" t="b">
        <x:v>0</x:v>
      </x:c>
      <x:c r="K13" t="n">
        <x:v>22</x:v>
      </x:c>
      <x:c r="L13" s="19" t="n">
        <x:v>0.000007618761628691573</x:v>
      </x:c>
    </x:row>
    <x:row r="14">
      <x:c r="A14" t="str">
        <x:v>SA-RE</x:v>
      </x:c>
      <x:c r="B14" t="n">
        <x:v>2701</x:v>
      </x:c>
      <x:c r="C14" t="n">
        <x:v>23</x:v>
      </x:c>
      <x:c r="D14" t="n">
        <x:v>17</x:v>
      </x:c>
      <x:c r="E14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F14" t="n">
        <x:v>2</x:v>
      </x:c>
      <x:c r="G14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H14" t="str">
        <x:v>hidden_state</x:v>
      </x:c>
      <x:c r="I14" s="18" t="n">
        <x:v>0.8381088972091675</x:v>
      </x:c>
      <x:c r="J14" s="23" t="b">
        <x:v>1</x:v>
      </x:c>
      <x:c r="K14" t="n">
        <x:v>22</x:v>
      </x:c>
      <x:c r="L14" s="19" t="n">
        <x:v>0.000007618761628691573</x:v>
      </x:c>
    </x:row>
    <x:row r="15">
      <x:c r="A15" t="str">
        <x:v>SA-RE</x:v>
      </x:c>
      <x:c r="B15" t="n">
        <x:v>2701</x:v>
      </x:c>
      <x:c r="C15" t="n">
        <x:v>23</x:v>
      </x:c>
      <x:c r="D15" t="n">
        <x:v>17</x:v>
      </x:c>
      <x:c r="E15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F15" t="n">
        <x:v>3</x:v>
      </x:c>
      <x:c r="G15" t="str">
        <x:v>{"normal":{"pairs":[{"branch_1":{"input_state":0,"op":"identity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H15" t="str">
        <x:v>operation</x:v>
      </x:c>
      <x:c r="I15" s="18" t="n">
        <x:v>0.8138236999511719</x:v>
      </x:c>
      <x:c r="J15" s="23" t="b">
        <x:v>0</x:v>
      </x:c>
      <x:c r="K15" t="n">
        <x:v>22</x:v>
      </x:c>
      <x:c r="L15" s="19" t="n">
        <x:v>0.000007618761628691573</x:v>
      </x:c>
    </x:row>
    <x:row r="16">
      <x:c r="A16" t="str">
        <x:v>SA-RE</x:v>
      </x:c>
      <x:c r="B16" t="n">
        <x:v>2701</x:v>
      </x:c>
      <x:c r="C16" t="n">
        <x:v>23</x:v>
      </x:c>
      <x:c r="D16" t="n">
        <x:v>17</x:v>
      </x:c>
      <x:c r="E16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F16" t="n">
        <x:v>4</x:v>
      </x:c>
      <x:c r="G16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sep_conv_5x5"},"branch_2":{"input_state":0,"op":"identity"}},{"branch_1":{"input_state":0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H16" t="str">
        <x:v>operation</x:v>
      </x:c>
      <x:c r="I16" s="18" t="n">
        <x:v>0.812614917755127</x:v>
      </x:c>
      <x:c r="J16" s="23" t="b">
        <x:v>0</x:v>
      </x:c>
      <x:c r="K16" t="n">
        <x:v>22</x:v>
      </x:c>
      <x:c r="L16" s="19" t="n">
        <x:v>0.000007618761628691573</x:v>
      </x:c>
    </x:row>
    <x:row r="17">
      <x:c r="A17" t="str">
        <x:v>SA-RE</x:v>
      </x:c>
      <x:c r="B17" t="n">
        <x:v>2701</x:v>
      </x:c>
      <x:c r="C17" t="n">
        <x:v>24</x:v>
      </x:c>
      <x:c r="D17" t="n">
        <x:v>23</x:v>
      </x:c>
      <x:c r="E17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F17" t="n">
        <x:v>0</x:v>
      </x:c>
      <x:c r="G17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5,"op":"sep_conv_7x7"},"branch_2":{"input_state":0,"op":"sep_conv_7x7"}}]},"reduction":{"pairs":[{"branch_1":{"input_state":1,"op":"sep_conv_5x5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H17" t="str">
        <x:v>hidden_state</x:v>
      </x:c>
      <x:c r="I17" s="18" t="n">
        <x:v>0.8352345824241638</x:v>
      </x:c>
      <x:c r="J17" s="23" t="b">
        <x:v>0</x:v>
      </x:c>
      <x:c r="K17" t="n">
        <x:v>23</x:v>
      </x:c>
      <x:c r="L17" s="19" t="n">
        <x:v>0.000011208487194380725</x:v>
      </x:c>
    </x:row>
    <x:row r="18">
      <x:c r="A18" t="str">
        <x:v>SA-RE</x:v>
      </x:c>
      <x:c r="B18" t="n">
        <x:v>2701</x:v>
      </x:c>
      <x:c r="C18" t="n">
        <x:v>24</x:v>
      </x:c>
      <x:c r="D18" t="n">
        <x:v>23</x:v>
      </x:c>
      <x:c r="E18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F18" t="n">
        <x:v>1</x:v>
      </x:c>
      <x:c r="G18" t="str">
        <x:v>{"normal":{"pairs":[{"branch_1":{"input_state":0,"op":"avg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H18" t="str">
        <x:v>operation</x:v>
      </x:c>
      <x:c r="I18" s="18" t="n">
        <x:v>0.823131799697876</x:v>
      </x:c>
      <x:c r="J18" s="23" t="b">
        <x:v>0</x:v>
      </x:c>
      <x:c r="K18" t="n">
        <x:v>23</x:v>
      </x:c>
      <x:c r="L18" s="19" t="n">
        <x:v>0.000011208487194380725</x:v>
      </x:c>
    </x:row>
    <x:row r="19">
      <x:c r="A19" t="str">
        <x:v>SA-RE</x:v>
      </x:c>
      <x:c r="B19" t="n">
        <x:v>2701</x:v>
      </x:c>
      <x:c r="C19" t="n">
        <x:v>24</x:v>
      </x:c>
      <x:c r="D19" t="n">
        <x:v>23</x:v>
      </x:c>
      <x:c r="E19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F19" t="n">
        <x:v>2</x:v>
      </x:c>
      <x:c r="G19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7x7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H19" t="str">
        <x:v>operation</x:v>
      </x:c>
      <x:c r="I19" s="18" t="n">
        <x:v>0.8176382780075073</x:v>
      </x:c>
      <x:c r="J19" s="23" t="b">
        <x:v>0</x:v>
      </x:c>
      <x:c r="K19" t="n">
        <x:v>23</x:v>
      </x:c>
      <x:c r="L19" s="19" t="n">
        <x:v>0.000011208487194380725</x:v>
      </x:c>
    </x:row>
    <x:row r="20">
      <x:c r="A20" t="str">
        <x:v>SA-RE</x:v>
      </x:c>
      <x:c r="B20" t="n">
        <x:v>2701</x:v>
      </x:c>
      <x:c r="C20" t="n">
        <x:v>24</x:v>
      </x:c>
      <x:c r="D20" t="n">
        <x:v>23</x:v>
      </x:c>
      <x:c r="E20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F20" t="n">
        <x:v>3</x:v>
      </x:c>
      <x:c r="G20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conv_1x7_7x1"},"branch_2":{"input_state":0,"op":"sep_conv_7x7"}}]},"reduction":{"pairs":[{"branch_1":{"input_state":1,"op":"sep_conv_5x5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H20" t="str">
        <x:v>operation</x:v>
      </x:c>
      <x:c r="I20" s="18" t="n">
        <x:v>0.8423382043838501</x:v>
      </x:c>
      <x:c r="J20" s="23" t="b">
        <x:v>1</x:v>
      </x:c>
      <x:c r="K20" t="n">
        <x:v>23</x:v>
      </x:c>
      <x:c r="L20" s="19" t="n">
        <x:v>0.000011208487194380725</x:v>
      </x:c>
    </x:row>
    <x:row r="21">
      <x:c r="A21" t="str">
        <x:v>SA-RE</x:v>
      </x:c>
      <x:c r="B21" t="n">
        <x:v>2701</x:v>
      </x:c>
      <x:c r="C21" t="n">
        <x:v>24</x:v>
      </x:c>
      <x:c r="D21" t="n">
        <x:v>23</x:v>
      </x:c>
      <x:c r="E21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F21" t="n">
        <x:v>4</x:v>
      </x:c>
      <x:c r="G21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3,"op":"sep_conv_7x7"},"branch_2":{"input_state":0,"op":"sep_conv_7x7"}}]},"reduction":{"pairs":[{"branch_1":{"input_state":1,"op":"sep_conv_5x5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H21" t="str">
        <x:v>hidden_state</x:v>
      </x:c>
      <x:c r="I21" s="18" t="n">
        <x:v>0.8235400319099426</x:v>
      </x:c>
      <x:c r="J21" s="23" t="b">
        <x:v>0</x:v>
      </x:c>
      <x:c r="K21" t="n">
        <x:v>23</x:v>
      </x:c>
      <x:c r="L21" s="19" t="n">
        <x:v>0.000011208487194380725</x:v>
      </x:c>
    </x:row>
    <x:row r="22">
      <x:c r="A22" t="str">
        <x:v>SA-RE</x:v>
      </x:c>
      <x:c r="B22" t="n">
        <x:v>2701</x:v>
      </x:c>
      <x:c r="C22" t="n">
        <x:v>25</x:v>
      </x:c>
      <x:c r="D22" t="n">
        <x:v>14</x:v>
      </x:c>
      <x:c r="E22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  <x:c r="F22" t="n">
        <x:v>0</x:v>
      </x:c>
      <x:c r="G22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conv_1x7_7x1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  <x:c r="H22" t="str">
        <x:v>operation</x:v>
      </x:c>
      <x:c r="I22" s="18" t="n">
        <x:v>0.8219401836395264</x:v>
      </x:c>
      <x:c r="J22" s="23" t="b">
        <x:v>0</x:v>
      </x:c>
      <x:c r="K22" t="n">
        <x:v>24</x:v>
      </x:c>
      <x:c r="L22" s="19" t="n">
        <x:v>0.00001863009674707428</x:v>
      </x:c>
    </x:row>
    <x:row r="23">
      <x:c r="A23" t="str">
        <x:v>SA-RE</x:v>
      </x:c>
      <x:c r="B23" t="n">
        <x:v>2701</x:v>
      </x:c>
      <x:c r="C23" t="n">
        <x:v>25</x:v>
      </x:c>
      <x:c r="D23" t="n">
        <x:v>14</x:v>
      </x:c>
      <x:c r="E23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  <x:c r="F23" t="n">
        <x:v>1</x:v>
      </x:c>
      <x:c r="G23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conv_1x7_7x1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  <x:c r="H23" t="str">
        <x:v>operation</x:v>
      </x:c>
      <x:c r="I23" s="18" t="n">
        <x:v>0.8382608890533447</x:v>
      </x:c>
      <x:c r="J23" s="23" t="b">
        <x:v>1</x:v>
      </x:c>
      <x:c r="K23" t="n">
        <x:v>24</x:v>
      </x:c>
      <x:c r="L23" s="19" t="n">
        <x:v>0.00001863009674707428</x:v>
      </x:c>
    </x:row>
    <x:row r="24">
      <x:c r="A24" t="str">
        <x:v>SA-RE</x:v>
      </x:c>
      <x:c r="B24" t="n">
        <x:v>2701</x:v>
      </x:c>
      <x:c r="C24" t="n">
        <x:v>25</x:v>
      </x:c>
      <x:c r="D24" t="n">
        <x:v>14</x:v>
      </x:c>
      <x:c r="E24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  <x:c r="F24" t="n">
        <x:v>2</x:v>
      </x:c>
      <x:c r="G24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3,"op":"max_pool_3x3"}}]}}</x:v>
      </x:c>
      <x:c r="H24" t="str">
        <x:v>hidden_state</x:v>
      </x:c>
      <x:c r="I24" s="18" t="n">
        <x:v>0.8190394639968872</x:v>
      </x:c>
      <x:c r="J24" s="23" t="b">
        <x:v>0</x:v>
      </x:c>
      <x:c r="K24" t="n">
        <x:v>24</x:v>
      </x:c>
      <x:c r="L24" s="19" t="n">
        <x:v>0.00001863009674707428</x:v>
      </x:c>
    </x:row>
    <x:row r="25">
      <x:c r="A25" t="str">
        <x:v>SA-RE</x:v>
      </x:c>
      <x:c r="B25" t="n">
        <x:v>2701</x:v>
      </x:c>
      <x:c r="C25" t="n">
        <x:v>25</x:v>
      </x:c>
      <x:c r="D25" t="n">
        <x:v>14</x:v>
      </x:c>
      <x:c r="E25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  <x:c r="F25" t="n">
        <x:v>3</x:v>
      </x:c>
      <x:c r="G25" t="str">
        <x:v>{"normal":{"pairs":[{"branch_1":{"input_state":0,"op":"identity"},"branch_2":{"input_state":0,"op":"dil_sep_conv_3x3"}},{"branch_1":{"input_state":1,"op":"dil_sep_conv_3x3"},"branch_2":{"input_state":0,"op":"identity"}},{"branch_1":{"input_state":1,"op":"avg_pool_3x3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  <x:c r="H25" t="str">
        <x:v>operation</x:v>
      </x:c>
      <x:c r="I25" s="18" t="n">
        <x:v>0.8128811717033386</x:v>
      </x:c>
      <x:c r="J25" s="23" t="b">
        <x:v>0</x:v>
      </x:c>
      <x:c r="K25" t="n">
        <x:v>24</x:v>
      </x:c>
      <x:c r="L25" s="19" t="n">
        <x:v>0.00001863009674707428</x:v>
      </x:c>
    </x:row>
    <x:row r="26">
      <x:c r="A26" t="str">
        <x:v>SA-RE</x:v>
      </x:c>
      <x:c r="B26" t="n">
        <x:v>2701</x:v>
      </x:c>
      <x:c r="C26" t="n">
        <x:v>25</x:v>
      </x:c>
      <x:c r="D26" t="n">
        <x:v>14</x:v>
      </x:c>
      <x:c r="E26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  <x:c r="F26" t="n">
        <x:v>4</x:v>
      </x:c>
      <x:c r="G26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sep_conv_3x3"},"branch_2":{"input_state":1,"op":"conv_1x7_7x1"}},{"branch_1":{"input_state":1,"op":"sep_conv_3x3"},"branch_2":{"input_state":0,"op":"max_pool_3x3"}}]}}</x:v>
      </x:c>
      <x:c r="H26" t="str">
        <x:v>operation</x:v>
      </x:c>
      <x:c r="I26" s="18" t="n">
        <x:v>0.8134413957595825</x:v>
      </x:c>
      <x:c r="J26" s="23" t="b">
        <x:v>0</x:v>
      </x:c>
      <x:c r="K26" t="n">
        <x:v>24</x:v>
      </x:c>
      <x:c r="L26" s="19" t="n">
        <x:v>0.00001863009674707428</x:v>
      </x:c>
    </x:row>
    <x:row r="27">
      <x:c r="A27" t="str">
        <x:v>SA-RE</x:v>
      </x:c>
      <x:c r="B27" t="n">
        <x:v>2701</x:v>
      </x:c>
      <x:c r="C27" t="n">
        <x:v>26</x:v>
      </x:c>
      <x:c r="D27" t="n">
        <x:v>23</x:v>
      </x:c>
      <x:c r="E27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F27" t="n">
        <x:v>0</x:v>
      </x:c>
      <x:c r="G27" t="str">
        <x:v>{"normal":{"pairs":[{"branch_1":{"input_state":0,"op":"max_pool_3x3"},"branch_2":{"input_state":0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H27" t="str">
        <x:v>hidden_state</x:v>
      </x:c>
      <x:c r="I27" s="18" t="n">
        <x:v>0.8397152423858643</x:v>
      </x:c>
      <x:c r="J27" s="23" t="b">
        <x:v>1</x:v>
      </x:c>
      <x:c r="K27" t="n">
        <x:v>25</x:v>
      </x:c>
      <x:c r="L27" s="19" t="n">
        <x:v>0.00003130043842247687</x:v>
      </x:c>
    </x:row>
    <x:row r="28">
      <x:c r="A28" t="str">
        <x:v>SA-RE</x:v>
      </x:c>
      <x:c r="B28" t="n">
        <x:v>2701</x:v>
      </x:c>
      <x:c r="C28" t="n">
        <x:v>26</x:v>
      </x:c>
      <x:c r="D28" t="n">
        <x:v>23</x:v>
      </x:c>
      <x:c r="E28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F28" t="n">
        <x:v>1</x:v>
      </x:c>
      <x:c r="G28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1,"op":"sep_conv_7x7"},"branch_2":{"input_state":0,"op":"sep_conv_7x7"}}]},"reduction":{"pairs":[{"branch_1":{"input_state":1,"op":"sep_conv_5x5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H28" t="str">
        <x:v>hidden_state</x:v>
      </x:c>
      <x:c r="I28" s="18" t="n">
        <x:v>0.8213967680931091</x:v>
      </x:c>
      <x:c r="J28" s="23" t="b">
        <x:v>0</x:v>
      </x:c>
      <x:c r="K28" t="n">
        <x:v>25</x:v>
      </x:c>
      <x:c r="L28" s="19" t="n">
        <x:v>0.00003130043842247687</x:v>
      </x:c>
    </x:row>
    <x:row r="29">
      <x:c r="A29" t="str">
        <x:v>SA-RE</x:v>
      </x:c>
      <x:c r="B29" t="n">
        <x:v>2701</x:v>
      </x:c>
      <x:c r="C29" t="n">
        <x:v>26</x:v>
      </x:c>
      <x:c r="D29" t="n">
        <x:v>23</x:v>
      </x:c>
      <x:c r="E29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F29" t="n">
        <x:v>2</x:v>
      </x:c>
      <x:c r="G29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1,"op":"dil_sep_conv_3x3"},"branch_2":{"input_state":5,"op":"identity"}}]}}</x:v>
      </x:c>
      <x:c r="H29" t="str">
        <x:v>hidden_state</x:v>
      </x:c>
      <x:c r="I29" s="18" t="n">
        <x:v>0.8388922810554504</x:v>
      </x:c>
      <x:c r="J29" s="23" t="b">
        <x:v>0</x:v>
      </x:c>
      <x:c r="K29" t="n">
        <x:v>25</x:v>
      </x:c>
      <x:c r="L29" s="19" t="n">
        <x:v>0.00003130043842247687</x:v>
      </x:c>
    </x:row>
    <x:row r="30">
      <x:c r="A30" t="str">
        <x:v>SA-RE</x:v>
      </x:c>
      <x:c r="B30" t="n">
        <x:v>2701</x:v>
      </x:c>
      <x:c r="C30" t="n">
        <x:v>26</x:v>
      </x:c>
      <x:c r="D30" t="n">
        <x:v>23</x:v>
      </x:c>
      <x:c r="E30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F30" t="n">
        <x:v>3</x:v>
      </x:c>
      <x:c r="G30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4,"op":"identity"}},{"branch_1":{"input_state":0,"op":"sep_conv_7x7"},"branch_2":{"input_state":0,"op":"sep_conv_7x7"}}]},"reduction":{"pairs":[{"branch_1":{"input_state":1,"op":"sep_conv_5x5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H30" t="str">
        <x:v>hidden_state</x:v>
      </x:c>
      <x:c r="I30" s="18" t="n">
        <x:v>0.8261791467666626</x:v>
      </x:c>
      <x:c r="J30" s="23" t="b">
        <x:v>0</x:v>
      </x:c>
      <x:c r="K30" t="n">
        <x:v>25</x:v>
      </x:c>
      <x:c r="L30" s="19" t="n">
        <x:v>0.00003130043842247687</x:v>
      </x:c>
    </x:row>
    <x:row r="31">
      <x:c r="A31" t="str">
        <x:v>SA-RE</x:v>
      </x:c>
      <x:c r="B31" t="n">
        <x:v>2701</x:v>
      </x:c>
      <x:c r="C31" t="n">
        <x:v>26</x:v>
      </x:c>
      <x:c r="D31" t="n">
        <x:v>23</x:v>
      </x:c>
      <x:c r="E31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F31" t="n">
        <x:v>4</x:v>
      </x:c>
      <x:c r="G31" t="str">
        <x:v>{"normal":{"pairs":[{"branch_1":{"input_state":0,"op":"max_pool_3x3"},"branch_2":{"input_state":1,"op":"sep_conv_7x7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1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H31" t="str">
        <x:v>operation</x:v>
      </x:c>
      <x:c r="I31" s="18" t="n">
        <x:v>0.8078866004943848</x:v>
      </x:c>
      <x:c r="J31" s="23" t="b">
        <x:v>0</x:v>
      </x:c>
      <x:c r="K31" t="n">
        <x:v>25</x:v>
      </x:c>
      <x:c r="L31" s="19" t="n">
        <x:v>0.00003130043842247687</x:v>
      </x:c>
    </x:row>
    <x:row r="32">
      <x:c r="A32" t="str">
        <x:v>SA-RE</x:v>
      </x:c>
      <x:c r="B32" t="n">
        <x:v>2701</x:v>
      </x:c>
      <x:c r="C32" t="n">
        <x:v>27</x:v>
      </x:c>
      <x:c r="D32" t="n">
        <x:v>7</x:v>
      </x:c>
      <x:c r="E32" t="str">
        <x:v>{"normal":{"pairs":[{"branch_1":{"input_state":0,"op":"conv_1x7_7x1"},"branch_2":{"input_state":0,"op":"avg_pool_3x3"}},{"branch_1":{"input_state":0,"op":"identity"},"branch_2":{"input_state":2,"op":"avg_pool_3x3"}},{"branch_1":{"input_state":2,"op":"sep_conv_5x5"},"branch_2":{"input_state":0,"op":"max_pool_3x3"}},{"branch_1":{"input_state":0,"op":"max_pool_3x3"},"branch_2":{"input_state":4,"op":"dil_sep_conv_3x3"}},{"branch_1":{"input_state":1,"op":"avg_pool_3x3"},"branch_2":{"input_state":0,"op":"sep_conv_3x3"}}]},"reduction":{"pairs":[{"branch_1":{"input_state":1,"op":"max_pool_3x3"},"branch_2":{"input_state":1,"op":"dil_sep_conv_3x3"}},{"branch_1":{"input_state":1,"op":"sep_conv_5x5"},"branch_2":{"input_state":1,"op":"avg_pool_3x3"}},{"branch_1":{"input_state":3,"op":"identity"},"branch_2":{"input_state":2,"op":"sep_conv_7x7"}},{"branch_1":{"input_state":1,"op":"max_pool_3x3"},"branch_2":{"input_state":2,"op":"sep_conv_5x5"}},{"branch_1":{"input_state":0,"op":"sep_conv_7x7"},"branch_2":{"input_state":5,"op":"max_pool_3x3"}}]}}</x:v>
      </x:c>
      <x:c r="F32" t="n">
        <x:v>0</x:v>
      </x:c>
      <x:c r="G32" t="str">
        <x:v>{"normal":{"pairs":[{"branch_1":{"input_state":0,"op":"conv_1x7_7x1"},"branch_2":{"input_state":0,"op":"avg_pool_3x3"}},{"branch_1":{"input_state":0,"op":"identity"},"branch_2":{"input_state":2,"op":"avg_pool_3x3"}},{"branch_1":{"input_state":2,"op":"sep_conv_5x5"},"branch_2":{"input_state":0,"op":"max_pool_3x3"}},{"branch_1":{"input_state":0,"op":"max_pool_3x3"},"branch_2":{"input_state":4,"op":"dil_sep_conv_3x3"}},{"branch_1":{"input_state":1,"op":"avg_pool_3x3"},"branch_2":{"input_state":0,"op":"sep_conv_3x3"}}]},"reduction":{"pairs":[{"branch_1":{"input_state":1,"op":"max_pool_3x3"},"branch_2":{"input_state":1,"op":"dil_sep_conv_3x3"}},{"branch_1":{"input_state":1,"op":"sep_conv_5x5"},"branch_2":{"input_state":1,"op":"sep_conv_5x5"}},{"branch_1":{"input_state":3,"op":"identity"},"branch_2":{"input_state":2,"op":"sep_conv_7x7"}},{"branch_1":{"input_state":1,"op":"max_pool_3x3"},"branch_2":{"input_state":2,"op":"sep_conv_5x5"}},{"branch_1":{"input_state":0,"op":"sep_conv_7x7"},"branch_2":{"input_state":5,"op":"max_pool_3x3"}}]}}</x:v>
      </x:c>
      <x:c r="H32" t="str">
        <x:v>operation</x:v>
      </x:c>
      <x:c r="I32" s="18" t="n">
        <x:v>0.8222260475158691</x:v>
      </x:c>
      <x:c r="J32" s="23" t="b">
        <x:v>0</x:v>
      </x:c>
      <x:c r="K32" t="n">
        <x:v>26</x:v>
      </x:c>
      <x:c r="L32" s="19" t="n">
        <x:v>0.0000396069444832392</x:v>
      </x:c>
    </x:row>
    <x:row r="33">
      <x:c r="A33" t="str">
        <x:v>SA-RE</x:v>
      </x:c>
      <x:c r="B33" t="n">
        <x:v>2701</x:v>
      </x:c>
      <x:c r="C33" t="n">
        <x:v>27</x:v>
      </x:c>
      <x:c r="D33" t="n">
        <x:v>7</x:v>
      </x:c>
      <x:c r="E33" t="str">
        <x:v>{"normal":{"pairs":[{"branch_1":{"input_state":0,"op":"conv_1x7_7x1"},"branch_2":{"input_state":0,"op":"avg_pool_3x3"}},{"branch_1":{"input_state":0,"op":"identity"},"branch_2":{"input_state":2,"op":"avg_pool_3x3"}},{"branch_1":{"input_state":2,"op":"sep_conv_5x5"},"branch_2":{"input_state":0,"op":"max_pool_3x3"}},{"branch_1":{"input_state":0,"op":"max_pool_3x3"},"branch_2":{"input_state":4,"op":"dil_sep_conv_3x3"}},{"branch_1":{"input_state":1,"op":"avg_pool_3x3"},"branch_2":{"input_state":0,"op":"sep_conv_3x3"}}]},"reduction":{"pairs":[{"branch_1":{"input_state":1,"op":"max_pool_3x3"},"branch_2":{"input_state":1,"op":"dil_sep_conv_3x3"}},{"branch_1":{"input_state":1,"op":"sep_conv_5x5"},"branch_2":{"input_state":1,"op":"avg_pool_3x3"}},{"branch_1":{"input_state":3,"op":"identity"},"branch_2":{"input_state":2,"op":"sep_conv_7x7"}},{"branch_1":{"input_state":1,"op":"max_pool_3x3"},"branch_2":{"input_state":2,"op":"sep_conv_5x5"}},{"branch_1":{"input_state":0,"op":"sep_conv_7x7"},"branch_2":{"input_state":5,"op":"max_pool_3x3"}}]}}</x:v>
      </x:c>
      <x:c r="F33" t="n">
        <x:v>1</x:v>
      </x:c>
      <x:c r="G33" t="str">
        <x:v>{"normal":{"pairs":[{"branch_1":{"input_state":0,"op":"conv_1x7_7x1"},"branch_2":{"input_state":0,"op":"avg_pool_3x3"}},{"branch_1":{"input_state":0,"op":"identity"},"branch_2":{"input_state":2,"op":"avg_pool_3x3"}},{"branch_1":{"input_state":2,"op":"sep_conv_5x5"},"branch_2":{"input_state":0,"op":"max_pool_3x3"}},{"branch_1":{"input_state":0,"op":"max_pool_3x3"},"branch_2":{"input_state":4,"op":"dil_sep_conv_3x3"}},{"branch_1":{"input_state":1,"op":"avg_pool_3x3"},"branch_2":{"input_state":0,"op":"dil_sep_conv_3x3"}}]},"reduction":{"pairs":[{"branch_1":{"input_state":1,"op":"max_pool_3x3"},"branch_2":{"input_state":1,"op":"dil_sep_conv_3x3"}},{"branch_1":{"input_state":1,"op":"sep_conv_5x5"},"branch_2":{"input_state":1,"op":"avg_pool_3x3"}},{"branch_1":{"input_state":3,"op":"identity"},"branch_2":{"input_state":2,"op":"sep_conv_7x7"}},{"branch_1":{"input_state":1,"op":"max_pool_3x3"},"branch_2":{"input_state":2,"op":"sep_conv_5x5"}},{"branch_1":{"input_state":0,"op":"sep_conv_7x7"},"branch_2":{"input_state":5,"op":"max_pool_3x3"}}]}}</x:v>
      </x:c>
      <x:c r="H33" t="str">
        <x:v>operation</x:v>
      </x:c>
      <x:c r="I33" s="18" t="n">
        <x:v>0.816440224647522</x:v>
      </x:c>
      <x:c r="J33" s="23" t="b">
        <x:v>0</x:v>
      </x:c>
      <x:c r="K33" t="n">
        <x:v>26</x:v>
      </x:c>
      <x:c r="L33" s="19" t="n">
        <x:v>0.0000396069444832392</x:v>
      </x:c>
    </x:row>
    <x:row r="34">
      <x:c r="A34" t="str">
        <x:v>SA-RE</x:v>
      </x:c>
      <x:c r="B34" t="n">
        <x:v>2701</x:v>
      </x:c>
      <x:c r="C34" t="n">
        <x:v>27</x:v>
      </x:c>
      <x:c r="D34" t="n">
        <x:v>7</x:v>
      </x:c>
      <x:c r="E34" t="str">
        <x:v>{"normal":{"pairs":[{"branch_1":{"input_state":0,"op":"conv_1x7_7x1"},"branch_2":{"input_state":0,"op":"avg_pool_3x3"}},{"branch_1":{"input_state":0,"op":"identity"},"branch_2":{"input_state":2,"op":"avg_pool_3x3"}},{"branch_1":{"input_state":2,"op":"sep_conv_5x5"},"branch_2":{"input_state":0,"op":"max_pool_3x3"}},{"branch_1":{"input_state":0,"op":"max_pool_3x3"},"branch_2":{"input_state":4,"op":"dil_sep_conv_3x3"}},{"branch_1":{"input_state":1,"op":"avg_pool_3x3"},"branch_2":{"input_state":0,"op":"sep_conv_3x3"}}]},"reduction":{"pairs":[{"branch_1":{"input_state":1,"op":"max_pool_3x3"},"branch_2":{"input_state":1,"op":"dil_sep_conv_3x3"}},{"branch_1":{"input_state":1,"op":"sep_conv_5x5"},"branch_2":{"input_state":1,"op":"avg_pool_3x3"}},{"branch_1":{"input_state":3,"op":"identity"},"branch_2":{"input_state":2,"op":"sep_conv_7x7"}},{"branch_1":{"input_state":1,"op":"max_pool_3x3"},"branch_2":{"input_state":2,"op":"sep_conv_5x5"}},{"branch_1":{"input_state":0,"op":"sep_conv_7x7"},"branch_2":{"input_state":5,"op":"max_pool_3x3"}}]}}</x:v>
      </x:c>
      <x:c r="F34" t="n">
        <x:v>2</x:v>
      </x:c>
      <x:c r="G34" t="str">
        <x:v>{"normal":{"pairs":[{"branch_1":{"input_state":0,"op":"conv_1x7_7x1"},"branch_2":{"input_state":0,"op":"avg_pool_3x3"}},{"branch_1":{"input_state":0,"op":"identity"},"branch_2":{"input_state":2,"op":"avg_pool_3x3"}},{"branch_1":{"input_state":2,"op":"sep_conv_5x5"},"branch_2":{"input_state":0,"op":"max_pool_3x3"}},{"branch_1":{"input_state":0,"op":"sep_conv_5x5"},"branch_2":{"input_state":4,"op":"dil_sep_conv_3x3"}},{"branch_1":{"input_state":1,"op":"avg_pool_3x3"},"branch_2":{"input_state":0,"op":"sep_conv_3x3"}}]},"reduction":{"pairs":[{"branch_1":{"input_state":1,"op":"max_pool_3x3"},"branch_2":{"input_state":1,"op":"dil_sep_conv_3x3"}},{"branch_1":{"input_state":1,"op":"sep_conv_5x5"},"branch_2":{"input_state":1,"op":"avg_pool_3x3"}},{"branch_1":{"input_state":3,"op":"identity"},"branch_2":{"input_state":2,"op":"sep_conv_7x7"}},{"branch_1":{"input_state":1,"op":"max_pool_3x3"},"branch_2":{"input_state":2,"op":"sep_conv_5x5"}},{"branch_1":{"input_state":0,"op":"sep_conv_7x7"},"branch_2":{"input_state":5,"op":"max_pool_3x3"}}]}}</x:v>
      </x:c>
      <x:c r="H34" t="str">
        <x:v>operation</x:v>
      </x:c>
      <x:c r="I34" s="18" t="n">
        <x:v>0.8046460151672363</x:v>
      </x:c>
      <x:c r="J34" s="23" t="b">
        <x:v>0</x:v>
      </x:c>
      <x:c r="K34" t="n">
        <x:v>26</x:v>
      </x:c>
      <x:c r="L34" s="19" t="n">
        <x:v>0.0000396069444832392</x:v>
      </x:c>
    </x:row>
    <x:row r="35">
      <x:c r="A35" t="str">
        <x:v>SA-RE</x:v>
      </x:c>
      <x:c r="B35" t="n">
        <x:v>2701</x:v>
      </x:c>
      <x:c r="C35" t="n">
        <x:v>27</x:v>
      </x:c>
      <x:c r="D35" t="n">
        <x:v>7</x:v>
      </x:c>
      <x:c r="E35" t="str">
        <x:v>{"normal":{"pairs":[{"branch_1":{"input_state":0,"op":"conv_1x7_7x1"},"branch_2":{"input_state":0,"op":"avg_pool_3x3"}},{"branch_1":{"input_state":0,"op":"identity"},"branch_2":{"input_state":2,"op":"avg_pool_3x3"}},{"branch_1":{"input_state":2,"op":"sep_conv_5x5"},"branch_2":{"input_state":0,"op":"max_pool_3x3"}},{"branch_1":{"input_state":0,"op":"max_pool_3x3"},"branch_2":{"input_state":4,"op":"dil_sep_conv_3x3"}},{"branch_1":{"input_state":1,"op":"avg_pool_3x3"},"branch_2":{"input_state":0,"op":"sep_conv_3x3"}}]},"reduction":{"pairs":[{"branch_1":{"input_state":1,"op":"max_pool_3x3"},"branch_2":{"input_state":1,"op":"dil_sep_conv_3x3"}},{"branch_1":{"input_state":1,"op":"sep_conv_5x5"},"branch_2":{"input_state":1,"op":"avg_pool_3x3"}},{"branch_1":{"input_state":3,"op":"identity"},"branch_2":{"input_state":2,"op":"sep_conv_7x7"}},{"branch_1":{"input_state":1,"op":"max_pool_3x3"},"branch_2":{"input_state":2,"op":"sep_conv_5x5"}},{"branch_1":{"input_state":0,"op":"sep_conv_7x7"},"branch_2":{"input_state":5,"op":"max_pool_3x3"}}]}}</x:v>
      </x:c>
      <x:c r="F35" t="n">
        <x:v>3</x:v>
      </x:c>
      <x:c r="G35" t="str">
        <x:v>{"normal":{"pairs":[{"branch_1":{"input_state":1,"op":"conv_1x7_7x1"},"branch_2":{"input_state":0,"op":"avg_pool_3x3"}},{"branch_1":{"input_state":0,"op":"identity"},"branch_2":{"input_state":2,"op":"avg_pool_3x3"}},{"branch_1":{"input_state":2,"op":"sep_conv_5x5"},"branch_2":{"input_state":0,"op":"max_pool_3x3"}},{"branch_1":{"input_state":0,"op":"max_pool_3x3"},"branch_2":{"input_state":4,"op":"dil_sep_conv_3x3"}},{"branch_1":{"input_state":1,"op":"avg_pool_3x3"},"branch_2":{"input_state":0,"op":"sep_conv_3x3"}}]},"reduction":{"pairs":[{"branch_1":{"input_state":1,"op":"max_pool_3x3"},"branch_2":{"input_state":1,"op":"dil_sep_conv_3x3"}},{"branch_1":{"input_state":1,"op":"sep_conv_5x5"},"branch_2":{"input_state":1,"op":"avg_pool_3x3"}},{"branch_1":{"input_state":3,"op":"identity"},"branch_2":{"input_state":2,"op":"sep_conv_7x7"}},{"branch_1":{"input_state":1,"op":"max_pool_3x3"},"branch_2":{"input_state":2,"op":"sep_conv_5x5"}},{"branch_1":{"input_state":0,"op":"sep_conv_7x7"},"branch_2":{"input_state":5,"op":"max_pool_3x3"}}]}}</x:v>
      </x:c>
      <x:c r="H35" t="str">
        <x:v>hidden_state</x:v>
      </x:c>
      <x:c r="I35" s="18" t="n">
        <x:v>0.8137811422348022</x:v>
      </x:c>
      <x:c r="J35" s="23" t="b">
        <x:v>0</x:v>
      </x:c>
      <x:c r="K35" t="n">
        <x:v>26</x:v>
      </x:c>
      <x:c r="L35" s="19" t="n">
        <x:v>0.0000396069444832392</x:v>
      </x:c>
    </x:row>
    <x:row r="36">
      <x:c r="A36" t="str">
        <x:v>SA-RE</x:v>
      </x:c>
      <x:c r="B36" t="n">
        <x:v>2701</x:v>
      </x:c>
      <x:c r="C36" t="n">
        <x:v>27</x:v>
      </x:c>
      <x:c r="D36" t="n">
        <x:v>7</x:v>
      </x:c>
      <x:c r="E36" t="str">
        <x:v>{"normal":{"pairs":[{"branch_1":{"input_state":0,"op":"conv_1x7_7x1"},"branch_2":{"input_state":0,"op":"avg_pool_3x3"}},{"branch_1":{"input_state":0,"op":"identity"},"branch_2":{"input_state":2,"op":"avg_pool_3x3"}},{"branch_1":{"input_state":2,"op":"sep_conv_5x5"},"branch_2":{"input_state":0,"op":"max_pool_3x3"}},{"branch_1":{"input_state":0,"op":"max_pool_3x3"},"branch_2":{"input_state":4,"op":"dil_sep_conv_3x3"}},{"branch_1":{"input_state":1,"op":"avg_pool_3x3"},"branch_2":{"input_state":0,"op":"sep_conv_3x3"}}]},"reduction":{"pairs":[{"branch_1":{"input_state":1,"op":"max_pool_3x3"},"branch_2":{"input_state":1,"op":"dil_sep_conv_3x3"}},{"branch_1":{"input_state":1,"op":"sep_conv_5x5"},"branch_2":{"input_state":1,"op":"avg_pool_3x3"}},{"branch_1":{"input_state":3,"op":"identity"},"branch_2":{"input_state":2,"op":"sep_conv_7x7"}},{"branch_1":{"input_state":1,"op":"max_pool_3x3"},"branch_2":{"input_state":2,"op":"sep_conv_5x5"}},{"branch_1":{"input_state":0,"op":"sep_conv_7x7"},"branch_2":{"input_state":5,"op":"max_pool_3x3"}}]}}</x:v>
      </x:c>
      <x:c r="F36" t="n">
        <x:v>4</x:v>
      </x:c>
      <x:c r="G36" t="str">
        <x:v>{"normal":{"pairs":[{"branch_1":{"input_state":0,"op":"conv_1x7_7x1"},"branch_2":{"input_state":0,"op":"avg_pool_3x3"}},{"branch_1":{"input_state":0,"op":"identity"},"branch_2":{"input_state":2,"op":"avg_pool_3x3"}},{"branch_1":{"input_state":2,"op":"sep_conv_5x5"},"branch_2":{"input_state":0,"op":"max_pool_3x3"}},{"branch_1":{"input_state":0,"op":"max_pool_3x3"},"branch_2":{"input_state":4,"op":"dil_sep_conv_3x3"}},{"branch_1":{"input_state":1,"op":"avg_pool_3x3"},"branch_2":{"input_state":0,"op":"sep_conv_3x3"}}]},"reduction":{"pairs":[{"branch_1":{"input_state":1,"op":"max_pool_3x3"},"branch_2":{"input_state":1,"op":"dil_sep_conv_3x3"}},{"branch_1":{"input_state":1,"op":"sep_conv_5x5"},"branch_2":{"input_state":1,"op":"avg_pool_3x3"}},{"branch_1":{"input_state":3,"op":"identity"},"branch_2":{"input_state":2,"op":"sep_conv_7x7"}},{"branch_1":{"input_state":1,"op":"max_pool_3x3"},"branch_2":{"input_state":0,"op":"sep_conv_5x5"}},{"branch_1":{"input_state":0,"op":"sep_conv_7x7"},"branch_2":{"input_state":5,"op":"max_pool_3x3"}}]}}</x:v>
      </x:c>
      <x:c r="H36" t="str">
        <x:v>hidden_state</x:v>
      </x:c>
      <x:c r="I36" s="18" t="n">
        <x:v>0.8258655667304993</x:v>
      </x:c>
      <x:c r="J36" s="23" t="b">
        <x:v>1</x:v>
      </x:c>
      <x:c r="K36" t="n">
        <x:v>26</x:v>
      </x:c>
      <x:c r="L36" s="19" t="n">
        <x:v>0.0000396069444832392</x:v>
      </x:c>
    </x:row>
    <x:row r="37">
      <x:c r="A37" t="str">
        <x:v>SA-RE</x:v>
      </x:c>
      <x:c r="B37" t="n">
        <x:v>2701</x:v>
      </x:c>
      <x:c r="C37" t="n">
        <x:v>28</x:v>
      </x:c>
      <x:c r="D37" t="n">
        <x:v>10</x:v>
      </x:c>
      <x:c r="E37" t="str">
        <x:v>{"normal":{"pairs":[{"branch_1":{"input_state":0,"op":"sep_conv_5x5"},"branch_2":{"input_state":0,"op":"avg_pool_3x3"}},{"branch_1":{"input_state":1,"op":"sep_conv_3x3"},"branch_2":{"input_state":1,"op":"avg_pool_3x3"}},{"branch_1":{"input_state":1,"op":"identity"},"branch_2":{"input_state":1,"op":"avg_pool_3x3"}},{"branch_1":{"input_state":1,"op":"sep_conv_3x3"},"branch_2":{"input_state":3,"op":"dil_sep_conv_3x3"}},{"branch_1":{"input_state":1,"op":"max_pool_3x3"},"branch_2":{"input_state":3,"op":"identity"}}]},"reduction":{"pairs":[{"branch_1":{"input_state":1,"op":"avg_pool_3x3"},"branch_2":{"input_state":1,"op":"avg_pool_3x3"}},{"branch_1":{"input_state":0,"op":"identity"},"branch_2":{"input_state":0,"op":"avg_pool_3x3"}},{"branch_1":{"input_state":2,"op":"conv_1x7_7x1"},"branch_2":{"input_state":3,"op":"sep_conv_3x3"}},{"branch_1":{"input_state":2,"op":"sep_conv_5x5"},"branch_2":{"input_state":2,"op":"conv_1x7_7x1"}},{"branch_1":{"input_state":3,"op":"sep_conv_3x3"},"branch_2":{"input_state":3,"op":"dil_sep_conv_3x3"}}]}}</x:v>
      </x:c>
      <x:c r="F37" t="n">
        <x:v>0</x:v>
      </x:c>
      <x:c r="G37" t="str">
        <x:v>{"normal":{"pairs":[{"branch_1":{"input_state":0,"op":"sep_conv_5x5"},"branch_2":{"input_state":0,"op":"avg_pool_3x3"}},{"branch_1":{"input_state":1,"op":"sep_conv_3x3"},"branch_2":{"input_state":1,"op":"avg_pool_3x3"}},{"branch_1":{"input_state":1,"op":"identity"},"branch_2":{"input_state":1,"op":"avg_pool_3x3"}},{"branch_1":{"input_state":1,"op":"sep_conv_3x3"},"branch_2":{"input_state":3,"op":"dil_sep_conv_3x3"}},{"branch_1":{"input_state":1,"op":"max_pool_3x3"},"branch_2":{"input_state":3,"op":"identity"}}]},"reduction":{"pairs":[{"branch_1":{"input_state":1,"op":"avg_pool_3x3"},"branch_2":{"input_state":1,"op":"identity"}},{"branch_1":{"input_state":0,"op":"identity"},"branch_2":{"input_state":0,"op":"avg_pool_3x3"}},{"branch_1":{"input_state":2,"op":"conv_1x7_7x1"},"branch_2":{"input_state":3,"op":"sep_conv_3x3"}},{"branch_1":{"input_state":2,"op":"sep_conv_5x5"},"branch_2":{"input_state":2,"op":"conv_1x7_7x1"}},{"branch_1":{"input_state":3,"op":"sep_conv_3x3"},"branch_2":{"input_state":3,"op":"dil_sep_conv_3x3"}}]}}</x:v>
      </x:c>
      <x:c r="H37" t="str">
        <x:v>operation</x:v>
      </x:c>
      <x:c r="I37" s="18" t="n">
        <x:v>0.7973196506500244</x:v>
      </x:c>
      <x:c r="J37" s="23" t="b">
        <x:v>0</x:v>
      </x:c>
      <x:c r="K37" t="n">
        <x:v>27</x:v>
      </x:c>
      <x:c r="L37" s="19" t="n">
        <x:v>0.00003928333171643317</x:v>
      </x:c>
    </x:row>
    <x:row r="38">
      <x:c r="A38" t="str">
        <x:v>SA-RE</x:v>
      </x:c>
      <x:c r="B38" t="n">
        <x:v>2701</x:v>
      </x:c>
      <x:c r="C38" t="n">
        <x:v>28</x:v>
      </x:c>
      <x:c r="D38" t="n">
        <x:v>10</x:v>
      </x:c>
      <x:c r="E38" t="str">
        <x:v>{"normal":{"pairs":[{"branch_1":{"input_state":0,"op":"sep_conv_5x5"},"branch_2":{"input_state":0,"op":"avg_pool_3x3"}},{"branch_1":{"input_state":1,"op":"sep_conv_3x3"},"branch_2":{"input_state":1,"op":"avg_pool_3x3"}},{"branch_1":{"input_state":1,"op":"identity"},"branch_2":{"input_state":1,"op":"avg_pool_3x3"}},{"branch_1":{"input_state":1,"op":"sep_conv_3x3"},"branch_2":{"input_state":3,"op":"dil_sep_conv_3x3"}},{"branch_1":{"input_state":1,"op":"max_pool_3x3"},"branch_2":{"input_state":3,"op":"identity"}}]},"reduction":{"pairs":[{"branch_1":{"input_state":1,"op":"avg_pool_3x3"},"branch_2":{"input_state":1,"op":"avg_pool_3x3"}},{"branch_1":{"input_state":0,"op":"identity"},"branch_2":{"input_state":0,"op":"avg_pool_3x3"}},{"branch_1":{"input_state":2,"op":"conv_1x7_7x1"},"branch_2":{"input_state":3,"op":"sep_conv_3x3"}},{"branch_1":{"input_state":2,"op":"sep_conv_5x5"},"branch_2":{"input_state":2,"op":"conv_1x7_7x1"}},{"branch_1":{"input_state":3,"op":"sep_conv_3x3"},"branch_2":{"input_state":3,"op":"dil_sep_conv_3x3"}}]}}</x:v>
      </x:c>
      <x:c r="F38" t="n">
        <x:v>1</x:v>
      </x:c>
      <x:c r="G38" t="str">
        <x:v>{"normal":{"pairs":[{"branch_1":{"input_state":0,"op":"sep_conv_5x5"},"branch_2":{"input_state":0,"op":"avg_pool_3x3"}},{"branch_1":{"input_state":1,"op":"sep_conv_3x3"},"branch_2":{"input_state":1,"op":"avg_pool_3x3"}},{"branch_1":{"input_state":1,"op":"identity"},"branch_2":{"input_state":1,"op":"avg_pool_3x3"}},{"branch_1":{"input_state":1,"op":"sep_conv_3x3"},"branch_2":{"input_state":3,"op":"dil_sep_conv_3x3"}},{"branch_1":{"input_state":1,"op":"max_pool_3x3"},"branch_2":{"input_state":3,"op":"identity"}}]},"reduction":{"pairs":[{"branch_1":{"input_state":1,"op":"avg_pool_3x3"},"branch_2":{"input_state":1,"op":"avg_pool_3x3"}},{"branch_1":{"input_state":0,"op":"identity"},"branch_2":{"input_state":0,"op":"avg_pool_3x3"}},{"branch_1":{"input_state":2,"op":"conv_1x7_7x1"},"branch_2":{"input_state":3,"op":"sep_conv_3x3"}},{"branch_1":{"input_state":2,"op":"sep_conv_5x5"},"branch_2":{"input_state":2,"op":"conv_1x7_7x1"}},{"branch_1":{"input_state":3,"op":"sep_conv_3x3"},"branch_2":{"input_state":3,"op":"dil_sep_conv_3x3"}}]}}</x:v>
      </x:c>
      <x:c r="H38" t="str">
        <x:v>identity</x:v>
      </x:c>
      <x:c r="I38" s="18" t="n">
        <x:v>0.8087596893310547</x:v>
      </x:c>
      <x:c r="J38" s="23" t="b">
        <x:v>0</x:v>
      </x:c>
      <x:c r="K38" t="n">
        <x:v>27</x:v>
      </x:c>
      <x:c r="L38" s="19" t="n">
        <x:v>0.00003928333171643317</x:v>
      </x:c>
    </x:row>
    <x:row r="39">
      <x:c r="A39" t="str">
        <x:v>SA-RE</x:v>
      </x:c>
      <x:c r="B39" t="n">
        <x:v>2701</x:v>
      </x:c>
      <x:c r="C39" t="n">
        <x:v>28</x:v>
      </x:c>
      <x:c r="D39" t="n">
        <x:v>10</x:v>
      </x:c>
      <x:c r="E39" t="str">
        <x:v>{"normal":{"pairs":[{"branch_1":{"input_state":0,"op":"sep_conv_5x5"},"branch_2":{"input_state":0,"op":"avg_pool_3x3"}},{"branch_1":{"input_state":1,"op":"sep_conv_3x3"},"branch_2":{"input_state":1,"op":"avg_pool_3x3"}},{"branch_1":{"input_state":1,"op":"identity"},"branch_2":{"input_state":1,"op":"avg_pool_3x3"}},{"branch_1":{"input_state":1,"op":"sep_conv_3x3"},"branch_2":{"input_state":3,"op":"dil_sep_conv_3x3"}},{"branch_1":{"input_state":1,"op":"max_pool_3x3"},"branch_2":{"input_state":3,"op":"identity"}}]},"reduction":{"pairs":[{"branch_1":{"input_state":1,"op":"avg_pool_3x3"},"branch_2":{"input_state":1,"op":"avg_pool_3x3"}},{"branch_1":{"input_state":0,"op":"identity"},"branch_2":{"input_state":0,"op":"avg_pool_3x3"}},{"branch_1":{"input_state":2,"op":"conv_1x7_7x1"},"branch_2":{"input_state":3,"op":"sep_conv_3x3"}},{"branch_1":{"input_state":2,"op":"sep_conv_5x5"},"branch_2":{"input_state":2,"op":"conv_1x7_7x1"}},{"branch_1":{"input_state":3,"op":"sep_conv_3x3"},"branch_2":{"input_state":3,"op":"dil_sep_conv_3x3"}}]}}</x:v>
      </x:c>
      <x:c r="F39" t="n">
        <x:v>2</x:v>
      </x:c>
      <x:c r="G39" t="str">
        <x:v>{"normal":{"pairs":[{"branch_1":{"input_state":0,"op":"sep_conv_5x5"},"branch_2":{"input_state":0,"op":"avg_pool_3x3"}},{"branch_1":{"input_state":1,"op":"sep_conv_3x3"},"branch_2":{"input_state":1,"op":"avg_pool_3x3"}},{"branch_1":{"input_state":1,"op":"identity"},"branch_2":{"input_state":1,"op":"avg_pool_3x3"}},{"branch_1":{"input_state":1,"op":"sep_conv_3x3"},"branch_2":{"input_state":3,"op":"dil_sep_conv_3x3"}},{"branch_1":{"input_state":1,"op":"max_pool_3x3"},"branch_2":{"input_state":3,"op":"identity"}}]},"reduction":{"pairs":[{"branch_1":{"input_state":1,"op":"avg_pool_3x3"},"branch_2":{"input_state":1,"op":"avg_pool_3x3"}},{"branch_1":{"input_state":0,"op":"identity"},"branch_2":{"input_state":0,"op":"avg_pool_3x3"}},{"branch_1":{"input_state":2,"op":"conv_1x7_7x1"},"branch_2":{"input_state":0,"op":"sep_conv_3x3"}},{"branch_1":{"input_state":2,"op":"sep_conv_5x5"},"branch_2":{"input_state":2,"op":"conv_1x7_7x1"}},{"branch_1":{"input_state":3,"op":"sep_conv_3x3"},"branch_2":{"input_state":3,"op":"dil_sep_conv_3x3"}}]}}</x:v>
      </x:c>
      <x:c r="H39" t="str">
        <x:v>hidden_state</x:v>
      </x:c>
      <x:c r="I39" s="18" t="n">
        <x:v>0.8143700361251831</x:v>
      </x:c>
      <x:c r="J39" s="23" t="b">
        <x:v>0</x:v>
      </x:c>
      <x:c r="K39" t="n">
        <x:v>27</x:v>
      </x:c>
      <x:c r="L39" s="19" t="n">
        <x:v>0.00003928333171643317</x:v>
      </x:c>
    </x:row>
    <x:row r="40">
      <x:c r="A40" t="str">
        <x:v>SA-RE</x:v>
      </x:c>
      <x:c r="B40" t="n">
        <x:v>2701</x:v>
      </x:c>
      <x:c r="C40" t="n">
        <x:v>28</x:v>
      </x:c>
      <x:c r="D40" t="n">
        <x:v>10</x:v>
      </x:c>
      <x:c r="E40" t="str">
        <x:v>{"normal":{"pairs":[{"branch_1":{"input_state":0,"op":"sep_conv_5x5"},"branch_2":{"input_state":0,"op":"avg_pool_3x3"}},{"branch_1":{"input_state":1,"op":"sep_conv_3x3"},"branch_2":{"input_state":1,"op":"avg_pool_3x3"}},{"branch_1":{"input_state":1,"op":"identity"},"branch_2":{"input_state":1,"op":"avg_pool_3x3"}},{"branch_1":{"input_state":1,"op":"sep_conv_3x3"},"branch_2":{"input_state":3,"op":"dil_sep_conv_3x3"}},{"branch_1":{"input_state":1,"op":"max_pool_3x3"},"branch_2":{"input_state":3,"op":"identity"}}]},"reduction":{"pairs":[{"branch_1":{"input_state":1,"op":"avg_pool_3x3"},"branch_2":{"input_state":1,"op":"avg_pool_3x3"}},{"branch_1":{"input_state":0,"op":"identity"},"branch_2":{"input_state":0,"op":"avg_pool_3x3"}},{"branch_1":{"input_state":2,"op":"conv_1x7_7x1"},"branch_2":{"input_state":3,"op":"sep_conv_3x3"}},{"branch_1":{"input_state":2,"op":"sep_conv_5x5"},"branch_2":{"input_state":2,"op":"conv_1x7_7x1"}},{"branch_1":{"input_state":3,"op":"sep_conv_3x3"},"branch_2":{"input_state":3,"op":"dil_sep_conv_3x3"}}]}}</x:v>
      </x:c>
      <x:c r="F40" t="n">
        <x:v>3</x:v>
      </x:c>
      <x:c r="G40" t="str">
        <x:v>{"normal":{"pairs":[{"branch_1":{"input_state":1,"op":"sep_conv_5x5"},"branch_2":{"input_state":0,"op":"avg_pool_3x3"}},{"branch_1":{"input_state":1,"op":"sep_conv_3x3"},"branch_2":{"input_state":1,"op":"avg_pool_3x3"}},{"branch_1":{"input_state":1,"op":"identity"},"branch_2":{"input_state":1,"op":"avg_pool_3x3"}},{"branch_1":{"input_state":1,"op":"sep_conv_3x3"},"branch_2":{"input_state":3,"op":"dil_sep_conv_3x3"}},{"branch_1":{"input_state":1,"op":"max_pool_3x3"},"branch_2":{"input_state":3,"op":"identity"}}]},"reduction":{"pairs":[{"branch_1":{"input_state":1,"op":"avg_pool_3x3"},"branch_2":{"input_state":1,"op":"avg_pool_3x3"}},{"branch_1":{"input_state":0,"op":"identity"},"branch_2":{"input_state":0,"op":"avg_pool_3x3"}},{"branch_1":{"input_state":2,"op":"conv_1x7_7x1"},"branch_2":{"input_state":3,"op":"sep_conv_3x3"}},{"branch_1":{"input_state":2,"op":"sep_conv_5x5"},"branch_2":{"input_state":2,"op":"conv_1x7_7x1"}},{"branch_1":{"input_state":3,"op":"sep_conv_3x3"},"branch_2":{"input_state":3,"op":"dil_sep_conv_3x3"}}]}}</x:v>
      </x:c>
      <x:c r="H40" t="str">
        <x:v>hidden_state</x:v>
      </x:c>
      <x:c r="I40" s="18" t="n">
        <x:v>0.7957442998886108</x:v>
      </x:c>
      <x:c r="J40" s="23" t="b">
        <x:v>0</x:v>
      </x:c>
      <x:c r="K40" t="n">
        <x:v>27</x:v>
      </x:c>
      <x:c r="L40" s="19" t="n">
        <x:v>0.00003928333171643317</x:v>
      </x:c>
    </x:row>
    <x:row r="41">
      <x:c r="A41" t="str">
        <x:v>SA-RE</x:v>
      </x:c>
      <x:c r="B41" t="n">
        <x:v>2701</x:v>
      </x:c>
      <x:c r="C41" t="n">
        <x:v>28</x:v>
      </x:c>
      <x:c r="D41" t="n">
        <x:v>10</x:v>
      </x:c>
      <x:c r="E41" t="str">
        <x:v>{"normal":{"pairs":[{"branch_1":{"input_state":0,"op":"sep_conv_5x5"},"branch_2":{"input_state":0,"op":"avg_pool_3x3"}},{"branch_1":{"input_state":1,"op":"sep_conv_3x3"},"branch_2":{"input_state":1,"op":"avg_pool_3x3"}},{"branch_1":{"input_state":1,"op":"identity"},"branch_2":{"input_state":1,"op":"avg_pool_3x3"}},{"branch_1":{"input_state":1,"op":"sep_conv_3x3"},"branch_2":{"input_state":3,"op":"dil_sep_conv_3x3"}},{"branch_1":{"input_state":1,"op":"max_pool_3x3"},"branch_2":{"input_state":3,"op":"identity"}}]},"reduction":{"pairs":[{"branch_1":{"input_state":1,"op":"avg_pool_3x3"},"branch_2":{"input_state":1,"op":"avg_pool_3x3"}},{"branch_1":{"input_state":0,"op":"identity"},"branch_2":{"input_state":0,"op":"avg_pool_3x3"}},{"branch_1":{"input_state":2,"op":"conv_1x7_7x1"},"branch_2":{"input_state":3,"op":"sep_conv_3x3"}},{"branch_1":{"input_state":2,"op":"sep_conv_5x5"},"branch_2":{"input_state":2,"op":"conv_1x7_7x1"}},{"branch_1":{"input_state":3,"op":"sep_conv_3x3"},"branch_2":{"input_state":3,"op":"dil_sep_conv_3x3"}}]}}</x:v>
      </x:c>
      <x:c r="F41" t="n">
        <x:v>4</x:v>
      </x:c>
      <x:c r="G41" t="str">
        <x:v>{"normal":{"pairs":[{"branch_1":{"input_state":0,"op":"sep_conv_3x3"},"branch_2":{"input_state":0,"op":"avg_pool_3x3"}},{"branch_1":{"input_state":1,"op":"sep_conv_3x3"},"branch_2":{"input_state":1,"op":"avg_pool_3x3"}},{"branch_1":{"input_state":1,"op":"identity"},"branch_2":{"input_state":1,"op":"avg_pool_3x3"}},{"branch_1":{"input_state":1,"op":"sep_conv_3x3"},"branch_2":{"input_state":3,"op":"dil_sep_conv_3x3"}},{"branch_1":{"input_state":1,"op":"max_pool_3x3"},"branch_2":{"input_state":3,"op":"identity"}}]},"reduction":{"pairs":[{"branch_1":{"input_state":1,"op":"avg_pool_3x3"},"branch_2":{"input_state":1,"op":"avg_pool_3x3"}},{"branch_1":{"input_state":0,"op":"identity"},"branch_2":{"input_state":0,"op":"avg_pool_3x3"}},{"branch_1":{"input_state":2,"op":"conv_1x7_7x1"},"branch_2":{"input_state":3,"op":"sep_conv_3x3"}},{"branch_1":{"input_state":2,"op":"sep_conv_5x5"},"branch_2":{"input_state":2,"op":"conv_1x7_7x1"}},{"branch_1":{"input_state":3,"op":"sep_conv_3x3"},"branch_2":{"input_state":3,"op":"dil_sep_conv_3x3"}}]}}</x:v>
      </x:c>
      <x:c r="H41" t="str">
        <x:v>operation</x:v>
      </x:c>
      <x:c r="I41" s="18" t="n">
        <x:v>0.8335389494895935</x:v>
      </x:c>
      <x:c r="J41" s="23" t="b">
        <x:v>1</x:v>
      </x:c>
      <x:c r="K41" t="n">
        <x:v>27</x:v>
      </x:c>
      <x:c r="L41" s="19" t="n">
        <x:v>0.00003928333171643317</x:v>
      </x:c>
    </x:row>
    <x:row r="42">
      <x:c r="A42" t="str">
        <x:v>SA-RE</x:v>
      </x:c>
      <x:c r="B42" t="n">
        <x:v>2701</x:v>
      </x:c>
      <x:c r="C42" t="n">
        <x:v>29</x:v>
      </x:c>
      <x:c r="D42" t="n">
        <x:v>17</x:v>
      </x:c>
      <x:c r="E42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F42" t="n">
        <x:v>0</x:v>
      </x:c>
      <x:c r="G42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3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H42" t="str">
        <x:v>hidden_state</x:v>
      </x:c>
      <x:c r="I42" s="18" t="n">
        <x:v>0.8012436628341675</x:v>
      </x:c>
      <x:c r="J42" s="23" t="b">
        <x:v>0</x:v>
      </x:c>
      <x:c r="K42" t="n">
        <x:v>28</x:v>
      </x:c>
      <x:c r="L42" s="19" t="n">
        <x:v>0.00003972751437686384</x:v>
      </x:c>
    </x:row>
    <x:row r="43">
      <x:c r="A43" t="str">
        <x:v>SA-RE</x:v>
      </x:c>
      <x:c r="B43" t="n">
        <x:v>2701</x:v>
      </x:c>
      <x:c r="C43" t="n">
        <x:v>29</x:v>
      </x:c>
      <x:c r="D43" t="n">
        <x:v>17</x:v>
      </x:c>
      <x:c r="E43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F43" t="n">
        <x:v>1</x:v>
      </x:c>
      <x:c r="G43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1,"op":"dil_sep_conv_3x3"},"branch_2":{"input_state":1,"op":"max_pool_3x3"}},{"branch_1":{"input_state":1,"op":"dil_sep_conv_3x3"},"branch_2":{"input_state":0,"op":"avg_pool_3x3"}},{"branch_1":{"input_state":3,"op":"dil_sep_conv_3x3"},"branch_2":{"input_state":5,"op":"identity"}}]}}</x:v>
      </x:c>
      <x:c r="H43" t="str">
        <x:v>operation</x:v>
      </x:c>
      <x:c r="I43" s="18" t="n">
        <x:v>0.7946819067001343</x:v>
      </x:c>
      <x:c r="J43" s="23" t="b">
        <x:v>0</x:v>
      </x:c>
      <x:c r="K43" t="n">
        <x:v>28</x:v>
      </x:c>
      <x:c r="L43" s="19" t="n">
        <x:v>0.00003972751437686384</x:v>
      </x:c>
    </x:row>
    <x:row r="44">
      <x:c r="A44" t="str">
        <x:v>SA-RE</x:v>
      </x:c>
      <x:c r="B44" t="n">
        <x:v>2701</x:v>
      </x:c>
      <x:c r="C44" t="n">
        <x:v>29</x:v>
      </x:c>
      <x:c r="D44" t="n">
        <x:v>17</x:v>
      </x:c>
      <x:c r="E44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F44" t="n">
        <x:v>2</x:v>
      </x:c>
      <x:c r="G44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0,"op":"sep_conv_3x3"}},{"branch_1":{"input_state":2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H44" t="str">
        <x:v>hidden_state</x:v>
      </x:c>
      <x:c r="I44" s="18" t="n">
        <x:v>0.7982624769210815</x:v>
      </x:c>
      <x:c r="J44" s="23" t="b">
        <x:v>0</x:v>
      </x:c>
      <x:c r="K44" t="n">
        <x:v>28</x:v>
      </x:c>
      <x:c r="L44" s="19" t="n">
        <x:v>0.00003972751437686384</x:v>
      </x:c>
    </x:row>
    <x:row r="45">
      <x:c r="A45" t="str">
        <x:v>SA-RE</x:v>
      </x:c>
      <x:c r="B45" t="n">
        <x:v>2701</x:v>
      </x:c>
      <x:c r="C45" t="n">
        <x:v>29</x:v>
      </x:c>
      <x:c r="D45" t="n">
        <x:v>17</x:v>
      </x:c>
      <x:c r="E45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F45" t="n">
        <x:v>3</x:v>
      </x:c>
      <x:c r="G45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H45" t="str">
        <x:v>identity</x:v>
      </x:c>
      <x:c r="I45" s="18" t="n">
        <x:v>0.8073596954345703</x:v>
      </x:c>
      <x:c r="J45" s="23" t="b">
        <x:v>0</x:v>
      </x:c>
      <x:c r="K45" t="n">
        <x:v>28</x:v>
      </x:c>
      <x:c r="L45" s="19" t="n">
        <x:v>0.00003972751437686384</x:v>
      </x:c>
    </x:row>
    <x:row r="46">
      <x:c r="A46" t="str">
        <x:v>SA-RE</x:v>
      </x:c>
      <x:c r="B46" t="n">
        <x:v>2701</x:v>
      </x:c>
      <x:c r="C46" t="n">
        <x:v>29</x:v>
      </x:c>
      <x:c r="D46" t="n">
        <x:v>17</x:v>
      </x:c>
      <x:c r="E46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3,"op":"dil_sep_conv_3x3"},"branch_2":{"input_state":5,"op":"identity"}}]}}</x:v>
      </x:c>
      <x:c r="F46" t="n">
        <x:v>4</x:v>
      </x:c>
      <x:c r="G46" t="str">
        <x:v>{"normal":{"pairs":[{"branch_1":{"input_state":0,"op":"max_pool_3x3"},"branch_2":{"input_state":1,"op":"sep_conv_3x3"}},{"branch_1":{"input_state":0,"op":"avg_pool_3x3"},"branch_2":{"input_state":0,"op":"sep_conv_3x3"}},{"branch_1":{"input_state":1,"op":"identity"},"branch_2":{"input_state":3,"op":"avg_pool_3x3"}},{"branch_1":{"input_state":3,"op":"conv_1x7_7x1"},"branch_2":{"input_state":0,"op":"identity"}},{"branch_1":{"input_state":0,"op":"sep_conv_7x7"},"branch_2":{"input_state":0,"op":"sep_conv_7x7"}}]},"reduction":{"pairs":[{"branch_1":{"input_state":1,"op":"sep_conv_5x5"},"branch_2":{"input_state":0,"op":"sep_conv_3x3"}},{"branch_1":{"input_state":0,"op":"sep_conv_7x7"},"branch_2":{"input_state":2,"op":"sep_conv_3x3"}},{"branch_1":{"input_state":1,"op":"dil_sep_conv_3x3"},"branch_2":{"input_state":1,"op":"max_pool_3x3"}},{"branch_1":{"input_state":1,"op":"sep_conv_5x5"},"branch_2":{"input_state":0,"op":"avg_pool_3x3"}},{"branch_1":{"input_state":2,"op":"dil_sep_conv_3x3"},"branch_2":{"input_state":5,"op":"identity"}}]}}</x:v>
      </x:c>
      <x:c r="H46" t="str">
        <x:v>hidden_state</x:v>
      </x:c>
      <x:c r="I46" s="18" t="n">
        <x:v>0.8243990540504456</x:v>
      </x:c>
      <x:c r="J46" s="23" t="b">
        <x:v>1</x:v>
      </x:c>
      <x:c r="K46" t="n">
        <x:v>28</x:v>
      </x:c>
      <x:c r="L46" s="19" t="n">
        <x:v>0.00003972751437686384</x:v>
      </x:c>
    </x:row>
    <x:row r="47">
      <x:c r="A47" t="str">
        <x:v>SA-RE</x:v>
      </x:c>
      <x:c r="B47" t="n">
        <x:v>2701</x:v>
      </x:c>
      <x:c r="C47" t="n">
        <x:v>30</x:v>
      </x:c>
      <x:c r="D47" t="n">
        <x:v>14</x:v>
      </x:c>
      <x:c r="E47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  <x:c r="F47" t="n">
        <x:v>0</x:v>
      </x:c>
      <x:c r="G47" t="str">
        <x:v>{"normal":{"pairs":[{"branch_1":{"input_state":0,"op":"identity"},"branch_2":{"input_state":0,"op":"dil_sep_conv_3x3"}},{"branch_1":{"input_state":0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  <x:c r="H47" t="str">
        <x:v>hidden_state</x:v>
      </x:c>
      <x:c r="I47" s="18" t="n">
        <x:v>0.7920968532562256</x:v>
      </x:c>
      <x:c r="J47" s="23" t="b">
        <x:v>0</x:v>
      </x:c>
      <x:c r="K47" t="n">
        <x:v>29</x:v>
      </x:c>
      <x:c r="L47" s="19" t="n">
        <x:v>0.00003913062755600549</x:v>
      </x:c>
    </x:row>
    <x:row r="48">
      <x:c r="A48" t="str">
        <x:v>SA-RE</x:v>
      </x:c>
      <x:c r="B48" t="n">
        <x:v>2701</x:v>
      </x:c>
      <x:c r="C48" t="n">
        <x:v>30</x:v>
      </x:c>
      <x:c r="D48" t="n">
        <x:v>14</x:v>
      </x:c>
      <x:c r="E48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  <x:c r="F48" t="n">
        <x:v>1</x:v>
      </x:c>
      <x:c r="G48" t="str">
        <x:v>{"normal":{"pairs":[{"branch_1":{"input_state":0,"op":"identity"},"branch_2":{"input_state":0,"op":"dil_sep_conv_3x3"}},{"branch_1":{"input_state":1,"op":"dil_sep_conv_3x3"},"branch_2":{"input_state":1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  <x:c r="H48" t="str">
        <x:v>hidden_state</x:v>
      </x:c>
      <x:c r="I48" s="18" t="n">
        <x:v>0.8045865297317505</x:v>
      </x:c>
      <x:c r="J48" s="23" t="b">
        <x:v>0</x:v>
      </x:c>
      <x:c r="K48" t="n">
        <x:v>29</x:v>
      </x:c>
      <x:c r="L48" s="19" t="n">
        <x:v>0.00003913062755600549</x:v>
      </x:c>
    </x:row>
    <x:row r="49">
      <x:c r="A49" t="str">
        <x:v>SA-RE</x:v>
      </x:c>
      <x:c r="B49" t="n">
        <x:v>2701</x:v>
      </x:c>
      <x:c r="C49" t="n">
        <x:v>30</x:v>
      </x:c>
      <x:c r="D49" t="n">
        <x:v>14</x:v>
      </x:c>
      <x:c r="E49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  <x:c r="F49" t="n">
        <x:v>2</x:v>
      </x:c>
      <x:c r="G49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1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  <x:c r="H49" t="str">
        <x:v>hidden_state</x:v>
      </x:c>
      <x:c r="I49" s="18" t="n">
        <x:v>0.8130098581314087</x:v>
      </x:c>
      <x:c r="J49" s="23" t="b">
        <x:v>1</x:v>
      </x:c>
      <x:c r="K49" t="n">
        <x:v>29</x:v>
      </x:c>
      <x:c r="L49" s="19" t="n">
        <x:v>0.00003913062755600549</x:v>
      </x:c>
    </x:row>
    <x:row r="50">
      <x:c r="A50" t="str">
        <x:v>SA-RE</x:v>
      </x:c>
      <x:c r="B50" t="n">
        <x:v>2701</x:v>
      </x:c>
      <x:c r="C50" t="n">
        <x:v>30</x:v>
      </x:c>
      <x:c r="D50" t="n">
        <x:v>14</x:v>
      </x:c>
      <x:c r="E50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  <x:c r="F50" t="n">
        <x:v>3</x:v>
      </x:c>
      <x:c r="G50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2,"op":"avg_pool_3x3"}},{"branch_1":{"input_state":1,"op":"identity"},"branch_2":{"input_state":1,"op":"conv_1x7_7x1"}},{"branch_1":{"input_state":1,"op":"sep_conv_3x3"},"branch_2":{"input_state":0,"op":"max_pool_3x3"}}]}}</x:v>
      </x:c>
      <x:c r="H50" t="str">
        <x:v>hidden_state</x:v>
      </x:c>
      <x:c r="I50" s="18" t="n">
        <x:v>0.7928179502487183</x:v>
      </x:c>
      <x:c r="J50" s="23" t="b">
        <x:v>0</x:v>
      </x:c>
      <x:c r="K50" t="n">
        <x:v>29</x:v>
      </x:c>
      <x:c r="L50" s="19" t="n">
        <x:v>0.00003913062755600549</x:v>
      </x:c>
    </x:row>
    <x:row r="51">
      <x:c r="A51" t="str">
        <x:v>SA-RE</x:v>
      </x:c>
      <x:c r="B51" t="n">
        <x:v>2701</x:v>
      </x:c>
      <x:c r="C51" t="n">
        <x:v>30</x:v>
      </x:c>
      <x:c r="D51" t="n">
        <x:v>14</x:v>
      </x:c>
      <x:c r="E51" t="str">
        <x:v>{"normal":{"pairs":[{"branch_1":{"input_state":0,"op":"identity"},"branch_2":{"input_state":0,"op":"dil_sep_conv_3x3"}},{"branch_1":{"input_state":1,"op":"dil_sep_conv_3x3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  <x:c r="F51" t="n">
        <x:v>4</x:v>
      </x:c>
      <x:c r="G51" t="str">
        <x:v>{"normal":{"pairs":[{"branch_1":{"input_state":0,"op":"identity"},"branch_2":{"input_state":0,"op":"dil_sep_conv_3x3"}},{"branch_1":{"input_state":1,"op":"sep_conv_5x5"},"branch_2":{"input_state":0,"op":"identity"}},{"branch_1":{"input_state":1,"op":"identity"},"branch_2":{"input_state":3,"op":"sep_conv_5x5"}},{"branch_1":{"input_state":1,"op":"identity"},"branch_2":{"input_state":1,"op":"avg_pool_3x3"}},{"branch_1":{"input_state":4,"op":"sep_conv_3x3"},"branch_2":{"input_state":0,"op":"max_pool_3x3"}}]},"reduction":{"pairs":[{"branch_1":{"input_state":0,"op":"conv_1x7_7x1"},"branch_2":{"input_state":1,"op":"max_pool_3x3"}},{"branch_1":{"input_state":2,"op":"avg_pool_3x3"},"branch_2":{"input_state":2,"op":"max_pool_3x3"}},{"branch_1":{"input_state":3,"op":"dil_sep_conv_3x3"},"branch_2":{"input_state":0,"op":"avg_pool_3x3"}},{"branch_1":{"input_state":1,"op":"identity"},"branch_2":{"input_state":1,"op":"conv_1x7_7x1"}},{"branch_1":{"input_state":1,"op":"sep_conv_3x3"},"branch_2":{"input_state":0,"op":"max_pool_3x3"}}]}}</x:v>
      </x:c>
      <x:c r="H51" t="str">
        <x:v>operation</x:v>
      </x:c>
      <x:c r="I51" s="18" t="n">
        <x:v>0.8033275604248047</x:v>
      </x:c>
      <x:c r="J51" s="23" t="b">
        <x:v>0</x:v>
      </x:c>
      <x:c r="K51" t="n">
        <x:v>29</x:v>
      </x:c>
      <x:c r="L51" s="19" t="n">
        <x:v>0.00003913062755600549</x:v>
      </x:c>
    </x:row>
    <x:row r="52">
      <x:c r="A52" t="str">
        <x:v>SA-RE</x:v>
      </x:c>
      <x:c r="B52" t="n">
        <x:v>2702</x:v>
      </x:c>
      <x:c r="C52" t="n">
        <x:v>21</x:v>
      </x:c>
      <x:c r="D52" t="n">
        <x:v>18</x:v>
      </x:c>
      <x:c r="E52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0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F52" t="n">
        <x:v>0</x:v>
      </x:c>
      <x:c r="G52" t="str">
        <x:v>{"normal":{"pairs":[{"branch_1":{"input_state":0,"op":"sep_conv_5x5"},"branch_2":{"input_state":0,"op":"max_pool_3x3"}},{"branch_1":{"input_state":2,"op":"conv_1x7_7x1"},"branch_2":{"input_state":2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0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H52" t="str">
        <x:v>hidden_state</x:v>
      </x:c>
      <x:c r="I52" s="18" t="n">
        <x:v>0.8020004034042358</x:v>
      </x:c>
      <x:c r="J52" s="23" t="b">
        <x:v>0</x:v>
      </x:c>
      <x:c r="K52" t="n">
        <x:v>20</x:v>
      </x:c>
      <x:c r="L52" s="19" t="n">
        <x:v>1.6378633560520942e-8</x:v>
      </x:c>
    </x:row>
    <x:row r="53">
      <x:c r="A53" t="str">
        <x:v>SA-RE</x:v>
      </x:c>
      <x:c r="B53" t="n">
        <x:v>2702</x:v>
      </x:c>
      <x:c r="C53" t="n">
        <x:v>21</x:v>
      </x:c>
      <x:c r="D53" t="n">
        <x:v>18</x:v>
      </x:c>
      <x:c r="E53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0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F53" t="n">
        <x:v>1</x:v>
      </x:c>
      <x:c r="G53" t="str">
        <x:v>{"normal":{"pairs":[{"branch_1":{"input_state":0,"op":"sep_conv_5x5"},"branch_2":{"input_state":0,"op":"max_pool_3x3"}},{"branch_1":{"input_state":2,"op":"conv_1x7_7x1"},"branch_2":{"input_state":0,"op":"conv_1x7_7x1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0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H53" t="str">
        <x:v>operation</x:v>
      </x:c>
      <x:c r="I53" s="18" t="n">
        <x:v>0.7993512749671936</x:v>
      </x:c>
      <x:c r="J53" s="23" t="b">
        <x:v>0</x:v>
      </x:c>
      <x:c r="K53" t="n">
        <x:v>20</x:v>
      </x:c>
      <x:c r="L53" s="19" t="n">
        <x:v>1.6378633560520942e-8</x:v>
      </x:c>
    </x:row>
    <x:row r="54">
      <x:c r="A54" t="str">
        <x:v>SA-RE</x:v>
      </x:c>
      <x:c r="B54" t="n">
        <x:v>2702</x:v>
      </x:c>
      <x:c r="C54" t="n">
        <x:v>21</x:v>
      </x:c>
      <x:c r="D54" t="n">
        <x:v>18</x:v>
      </x:c>
      <x:c r="E54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0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F54" t="n">
        <x:v>2</x:v>
      </x:c>
      <x:c r="G54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0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1,"op":"sep_conv_5x5"},"branch_2":{"input_state":3,"op":"avg_pool_3x3"}},{"branch_1":{"input_state":4,"op":"conv_1x7_7x1"},"branch_2":{"input_state":4,"op":"max_pool_3x3"}}]}}</x:v>
      </x:c>
      <x:c r="H54" t="str">
        <x:v>hidden_state</x:v>
      </x:c>
      <x:c r="I54" s="18" t="n">
        <x:v>0.7965980768203735</x:v>
      </x:c>
      <x:c r="J54" s="23" t="b">
        <x:v>0</x:v>
      </x:c>
      <x:c r="K54" t="n">
        <x:v>20</x:v>
      </x:c>
      <x:c r="L54" s="19" t="n">
        <x:v>1.6378633560520942e-8</x:v>
      </x:c>
    </x:row>
    <x:row r="55">
      <x:c r="A55" t="str">
        <x:v>SA-RE</x:v>
      </x:c>
      <x:c r="B55" t="n">
        <x:v>2702</x:v>
      </x:c>
      <x:c r="C55" t="n">
        <x:v>21</x:v>
      </x:c>
      <x:c r="D55" t="n">
        <x:v>18</x:v>
      </x:c>
      <x:c r="E55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0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F55" t="n">
        <x:v>3</x:v>
      </x:c>
      <x:c r="G55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0,"op":"sep_conv_3x3"},"branch_2":{"input_state":1,"op":"max_pool_3x3"}},{"branch_1":{"input_state":0,"op":"sep_conv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H55" t="str">
        <x:v>operation</x:v>
      </x:c>
      <x:c r="I55" s="18" t="n">
        <x:v>0.8024513125419617</x:v>
      </x:c>
      <x:c r="J55" s="23" t="b">
        <x:v>0</x:v>
      </x:c>
      <x:c r="K55" t="n">
        <x:v>20</x:v>
      </x:c>
      <x:c r="L55" s="19" t="n">
        <x:v>1.6378633560520942e-8</x:v>
      </x:c>
    </x:row>
    <x:row r="56">
      <x:c r="A56" t="str">
        <x:v>SA-RE</x:v>
      </x:c>
      <x:c r="B56" t="n">
        <x:v>2702</x:v>
      </x:c>
      <x:c r="C56" t="n">
        <x:v>21</x:v>
      </x:c>
      <x:c r="D56" t="n">
        <x:v>18</x:v>
      </x:c>
      <x:c r="E56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0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F56" t="n">
        <x:v>4</x:v>
      </x:c>
      <x:c r="G56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H56" t="str">
        <x:v>hidden_state</x:v>
      </x:c>
      <x:c r="I56" s="18" t="n">
        <x:v>0.8121410608291626</x:v>
      </x:c>
      <x:c r="J56" s="23" t="b">
        <x:v>1</x:v>
      </x:c>
      <x:c r="K56" t="n">
        <x:v>20</x:v>
      </x:c>
      <x:c r="L56" s="19" t="n">
        <x:v>1.6378633560520942e-8</x:v>
      </x:c>
    </x:row>
    <x:row r="57">
      <x:c r="A57" t="str">
        <x:v>SA-RE</x:v>
      </x:c>
      <x:c r="B57" t="n">
        <x:v>2702</x:v>
      </x:c>
      <x:c r="C57" t="n">
        <x:v>22</x:v>
      </x:c>
      <x:c r="D57" t="n">
        <x:v>21</x:v>
      </x:c>
      <x:c r="E57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F57" t="n">
        <x:v>0</x:v>
      </x:c>
      <x:c r="G57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0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H57" t="str">
        <x:v>hidden_state</x:v>
      </x:c>
      <x:c r="I57" s="18" t="n">
        <x:v>0.8003756999969482</x:v>
      </x:c>
      <x:c r="J57" s="23" t="b">
        <x:v>0</x:v>
      </x:c>
      <x:c r="K57" t="n">
        <x:v>21</x:v>
      </x:c>
      <x:c r="L57" s="19" t="n">
        <x:v>3.348316397477902e-7</x:v>
      </x:c>
    </x:row>
    <x:row r="58">
      <x:c r="A58" t="str">
        <x:v>SA-RE</x:v>
      </x:c>
      <x:c r="B58" t="n">
        <x:v>2702</x:v>
      </x:c>
      <x:c r="C58" t="n">
        <x:v>22</x:v>
      </x:c>
      <x:c r="D58" t="n">
        <x:v>21</x:v>
      </x:c>
      <x:c r="E58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F58" t="n">
        <x:v>1</x:v>
      </x:c>
      <x:c r="G58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H58" t="str">
        <x:v>identity</x:v>
      </x:c>
      <x:c r="I58" s="18" t="n">
        <x:v>0.8153336048126221</x:v>
      </x:c>
      <x:c r="J58" s="23" t="b">
        <x:v>1</x:v>
      </x:c>
      <x:c r="K58" t="n">
        <x:v>21</x:v>
      </x:c>
      <x:c r="L58" s="19" t="n">
        <x:v>3.348316397477902e-7</x:v>
      </x:c>
    </x:row>
    <x:row r="59">
      <x:c r="A59" t="str">
        <x:v>SA-RE</x:v>
      </x:c>
      <x:c r="B59" t="n">
        <x:v>2702</x:v>
      </x:c>
      <x:c r="C59" t="n">
        <x:v>22</x:v>
      </x:c>
      <x:c r="D59" t="n">
        <x:v>21</x:v>
      </x:c>
      <x:c r="E59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F59" t="n">
        <x:v>2</x:v>
      </x:c>
      <x:c r="G59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H59" t="str">
        <x:v>identity</x:v>
      </x:c>
      <x:c r="I59" s="18" t="n">
        <x:v>0.8153336048126221</x:v>
      </x:c>
      <x:c r="J59" s="23" t="b">
        <x:v>0</x:v>
      </x:c>
      <x:c r="K59" t="n">
        <x:v>21</x:v>
      </x:c>
      <x:c r="L59" s="19" t="n">
        <x:v>3.348316397477902e-7</x:v>
      </x:c>
    </x:row>
    <x:row r="60">
      <x:c r="A60" t="str">
        <x:v>SA-RE</x:v>
      </x:c>
      <x:c r="B60" t="n">
        <x:v>2702</x:v>
      </x:c>
      <x:c r="C60" t="n">
        <x:v>22</x:v>
      </x:c>
      <x:c r="D60" t="n">
        <x:v>21</x:v>
      </x:c>
      <x:c r="E60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F60" t="n">
        <x:v>3</x:v>
      </x:c>
      <x:c r="G60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H60" t="str">
        <x:v>identity</x:v>
      </x:c>
      <x:c r="I60" s="18" t="n">
        <x:v>0.8153336048126221</x:v>
      </x:c>
      <x:c r="J60" s="23" t="b">
        <x:v>0</x:v>
      </x:c>
      <x:c r="K60" t="n">
        <x:v>21</x:v>
      </x:c>
      <x:c r="L60" s="19" t="n">
        <x:v>3.348316397477902e-7</x:v>
      </x:c>
    </x:row>
    <x:row r="61">
      <x:c r="A61" t="str">
        <x:v>SA-RE</x:v>
      </x:c>
      <x:c r="B61" t="n">
        <x:v>2702</x:v>
      </x:c>
      <x:c r="C61" t="n">
        <x:v>22</x:v>
      </x:c>
      <x:c r="D61" t="n">
        <x:v>21</x:v>
      </x:c>
      <x:c r="E61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F61" t="n">
        <x:v>4</x:v>
      </x:c>
      <x:c r="G61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2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H61" t="str">
        <x:v>hidden_state</x:v>
      </x:c>
      <x:c r="I61" s="18" t="n">
        <x:v>0.810605525970459</x:v>
      </x:c>
      <x:c r="J61" s="23" t="b">
        <x:v>0</x:v>
      </x:c>
      <x:c r="K61" t="n">
        <x:v>21</x:v>
      </x:c>
      <x:c r="L61" s="19" t="n">
        <x:v>3.348316397477902e-7</x:v>
      </x:c>
    </x:row>
    <x:row r="62">
      <x:c r="A62" t="str">
        <x:v>SA-RE</x:v>
      </x:c>
      <x:c r="B62" t="n">
        <x:v>2702</x:v>
      </x:c>
      <x:c r="C62" t="n">
        <x:v>23</x:v>
      </x:c>
      <x:c r="D62" t="n">
        <x:v>22</x:v>
      </x:c>
      <x:c r="E62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F62" t="n">
        <x:v>0</x:v>
      </x:c>
      <x:c r="G62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3,"op":"max_pool_3x3"}}]}}</x:v>
      </x:c>
      <x:c r="H62" t="str">
        <x:v>hidden_state</x:v>
      </x:c>
      <x:c r="I62" s="18" t="n">
        <x:v>0.8150838613510132</x:v>
      </x:c>
      <x:c r="J62" s="23" t="b">
        <x:v>0</x:v>
      </x:c>
      <x:c r="K62" t="n">
        <x:v>22</x:v>
      </x:c>
      <x:c r="L62" s="19" t="n">
        <x:v>6.282977551563818e-7</x:v>
      </x:c>
    </x:row>
    <x:row r="63">
      <x:c r="A63" t="str">
        <x:v>SA-RE</x:v>
      </x:c>
      <x:c r="B63" t="n">
        <x:v>2702</x:v>
      </x:c>
      <x:c r="C63" t="n">
        <x:v>23</x:v>
      </x:c>
      <x:c r="D63" t="n">
        <x:v>22</x:v>
      </x:c>
      <x:c r="E63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F63" t="n">
        <x:v>1</x:v>
      </x:c>
      <x:c r="G63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4,"op":"avg_pool_3x3"}},{"branch_1":{"input_state":4,"op":"conv_1x7_7x1"},"branch_2":{"input_state":4,"op":"max_pool_3x3"}}]}}</x:v>
      </x:c>
      <x:c r="H63" t="str">
        <x:v>hidden_state</x:v>
      </x:c>
      <x:c r="I63" s="18" t="n">
        <x:v>0.8110504150390625</x:v>
      </x:c>
      <x:c r="J63" s="23" t="b">
        <x:v>0</x:v>
      </x:c>
      <x:c r="K63" t="n">
        <x:v>22</x:v>
      </x:c>
      <x:c r="L63" s="19" t="n">
        <x:v>6.282977551563818e-7</x:v>
      </x:c>
    </x:row>
    <x:row r="64">
      <x:c r="A64" t="str">
        <x:v>SA-RE</x:v>
      </x:c>
      <x:c r="B64" t="n">
        <x:v>2702</x:v>
      </x:c>
      <x:c r="C64" t="n">
        <x:v>23</x:v>
      </x:c>
      <x:c r="D64" t="n">
        <x:v>22</x:v>
      </x:c>
      <x:c r="E64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F64" t="n">
        <x:v>2</x:v>
      </x:c>
      <x:c r="G64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conv_1x7_7x1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H64" t="str">
        <x:v>operation</x:v>
      </x:c>
      <x:c r="I64" s="18" t="n">
        <x:v>0.8102594614028931</x:v>
      </x:c>
      <x:c r="J64" s="23" t="b">
        <x:v>0</x:v>
      </x:c>
      <x:c r="K64" t="n">
        <x:v>22</x:v>
      </x:c>
      <x:c r="L64" s="19" t="n">
        <x:v>6.282977551563818e-7</x:v>
      </x:c>
    </x:row>
    <x:row r="65">
      <x:c r="A65" t="str">
        <x:v>SA-RE</x:v>
      </x:c>
      <x:c r="B65" t="n">
        <x:v>2702</x:v>
      </x:c>
      <x:c r="C65" t="n">
        <x:v>23</x:v>
      </x:c>
      <x:c r="D65" t="n">
        <x:v>22</x:v>
      </x:c>
      <x:c r="E65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F65" t="n">
        <x:v>3</x:v>
      </x:c>
      <x:c r="G65" t="str">
        <x:v>{"normal":{"pairs":[{"branch_1":{"input_state":0,"op":"sep_conv_5x5"},"branch_2":{"input_state":0,"op":"max_pool_3x3"}},{"branch_1":{"input_state":2,"op":"conv_1x7_7x1"},"branch_2":{"input_state":0,"op":"sep_conv_7x7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H65" t="str">
        <x:v>operation</x:v>
      </x:c>
      <x:c r="I65" s="18" t="n">
        <x:v>0.8256030082702637</x:v>
      </x:c>
      <x:c r="J65" s="23" t="b">
        <x:v>0</x:v>
      </x:c>
      <x:c r="K65" t="n">
        <x:v>22</x:v>
      </x:c>
      <x:c r="L65" s="19" t="n">
        <x:v>6.282977551563818e-7</x:v>
      </x:c>
    </x:row>
    <x:row r="66">
      <x:c r="A66" t="str">
        <x:v>SA-RE</x:v>
      </x:c>
      <x:c r="B66" t="n">
        <x:v>2702</x:v>
      </x:c>
      <x:c r="C66" t="n">
        <x:v>23</x:v>
      </x:c>
      <x:c r="D66" t="n">
        <x:v>22</x:v>
      </x:c>
      <x:c r="E66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F66" t="n">
        <x:v>4</x:v>
      </x:c>
      <x:c r="G66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H66" t="str">
        <x:v>hidden_state</x:v>
      </x:c>
      <x:c r="I66" s="18" t="n">
        <x:v>0.8266068696975708</x:v>
      </x:c>
      <x:c r="J66" s="23" t="b">
        <x:v>1</x:v>
      </x:c>
      <x:c r="K66" t="n">
        <x:v>22</x:v>
      </x:c>
      <x:c r="L66" s="19" t="n">
        <x:v>6.282977551563818e-7</x:v>
      </x:c>
    </x:row>
    <x:row r="67">
      <x:c r="A67" t="str">
        <x:v>SA-RE</x:v>
      </x:c>
      <x:c r="B67" t="n">
        <x:v>2702</x:v>
      </x:c>
      <x:c r="C67" t="n">
        <x:v>24</x:v>
      </x:c>
      <x:c r="D67" t="n">
        <x:v>13</x:v>
      </x:c>
      <x:c r="E67" t="str">
        <x:v>{"normal":{"pairs":[{"branch_1":{"input_state":0,"op":"dil_sep_conv_3x3"},"branch_2":{"input_state":0,"op":"conv_1x7_7x1"}},{"branch_1":{"input_state":1,"op":"identity"},"branch_2":{"input_state":1,"op":"avg_pool_3x3"}},{"branch_1":{"input_state":0,"op":"max_pool_3x3"},"branch_2":{"input_state":0,"op":"avg_pool_3x3"}},{"branch_1":{"input_state":1,"op":"avg_pool_3x3"},"branch_2":{"input_state":2,"op":"sep_conv_3x3"}},{"branch_1":{"input_state":1,"op":"sep_conv_5x5"},"branch_2":{"input_state":1,"op":"conv_1x7_7x1"}}]},"reduction":{"pairs":[{"branch_1":{"input_state":0,"op":"conv_1x7_7x1"},"branch_2":{"input_state":0,"op":"dil_sep_conv_3x3"}},{"branch_1":{"input_state":0,"op":"conv_1x7_7x1"},"branch_2":{"input_state":0,"op":"sep_conv_5x5"}},{"branch_1":{"input_state":0,"op":"sep_conv_5x5"},"branch_2":{"input_state":1,"op":"sep_conv_3x3"}},{"branch_1":{"input_state":1,"op":"max_pool_3x3"},"branch_2":{"input_state":0,"op":"avg_pool_3x3"}},{"branch_1":{"input_state":1,"op":"dil_sep_conv_3x3"},"branch_2":{"input_state":2,"op":"sep_conv_3x3"}}]}}</x:v>
      </x:c>
      <x:c r="F67" t="n">
        <x:v>0</x:v>
      </x:c>
      <x:c r="G67" t="str">
        <x:v>{"normal":{"pairs":[{"branch_1":{"input_state":0,"op":"dil_sep_conv_3x3"},"branch_2":{"input_state":0,"op":"conv_1x7_7x1"}},{"branch_1":{"input_state":1,"op":"identity"},"branch_2":{"input_state":1,"op":"avg_pool_3x3"}},{"branch_1":{"input_state":0,"op":"max_pool_3x3"},"branch_2":{"input_state":3,"op":"avg_pool_3x3"}},{"branch_1":{"input_state":1,"op":"avg_pool_3x3"},"branch_2":{"input_state":2,"op":"sep_conv_3x3"}},{"branch_1":{"input_state":1,"op":"sep_conv_5x5"},"branch_2":{"input_state":1,"op":"conv_1x7_7x1"}}]},"reduction":{"pairs":[{"branch_1":{"input_state":0,"op":"conv_1x7_7x1"},"branch_2":{"input_state":0,"op":"dil_sep_conv_3x3"}},{"branch_1":{"input_state":0,"op":"conv_1x7_7x1"},"branch_2":{"input_state":0,"op":"sep_conv_5x5"}},{"branch_1":{"input_state":0,"op":"sep_conv_5x5"},"branch_2":{"input_state":1,"op":"sep_conv_3x3"}},{"branch_1":{"input_state":1,"op":"max_pool_3x3"},"branch_2":{"input_state":0,"op":"avg_pool_3x3"}},{"branch_1":{"input_state":1,"op":"dil_sep_conv_3x3"},"branch_2":{"input_state":2,"op":"sep_conv_3x3"}}]}}</x:v>
      </x:c>
      <x:c r="H67" t="str">
        <x:v>hidden_state</x:v>
      </x:c>
      <x:c r="I67" s="18" t="n">
        <x:v>0.820748507976532</x:v>
      </x:c>
      <x:c r="J67" s="23" t="b">
        <x:v>0</x:v>
      </x:c>
      <x:c r="K67" t="n">
        <x:v>23</x:v>
      </x:c>
      <x:c r="L67" s="19" t="n">
        <x:v>8.362522976312903e-7</x:v>
      </x:c>
    </x:row>
    <x:row r="68">
      <x:c r="A68" t="str">
        <x:v>SA-RE</x:v>
      </x:c>
      <x:c r="B68" t="n">
        <x:v>2702</x:v>
      </x:c>
      <x:c r="C68" t="n">
        <x:v>24</x:v>
      </x:c>
      <x:c r="D68" t="n">
        <x:v>13</x:v>
      </x:c>
      <x:c r="E68" t="str">
        <x:v>{"normal":{"pairs":[{"branch_1":{"input_state":0,"op":"dil_sep_conv_3x3"},"branch_2":{"input_state":0,"op":"conv_1x7_7x1"}},{"branch_1":{"input_state":1,"op":"identity"},"branch_2":{"input_state":1,"op":"avg_pool_3x3"}},{"branch_1":{"input_state":0,"op":"max_pool_3x3"},"branch_2":{"input_state":0,"op":"avg_pool_3x3"}},{"branch_1":{"input_state":1,"op":"avg_pool_3x3"},"branch_2":{"input_state":2,"op":"sep_conv_3x3"}},{"branch_1":{"input_state":1,"op":"sep_conv_5x5"},"branch_2":{"input_state":1,"op":"conv_1x7_7x1"}}]},"reduction":{"pairs":[{"branch_1":{"input_state":0,"op":"conv_1x7_7x1"},"branch_2":{"input_state":0,"op":"dil_sep_conv_3x3"}},{"branch_1":{"input_state":0,"op":"conv_1x7_7x1"},"branch_2":{"input_state":0,"op":"sep_conv_5x5"}},{"branch_1":{"input_state":0,"op":"sep_conv_5x5"},"branch_2":{"input_state":1,"op":"sep_conv_3x3"}},{"branch_1":{"input_state":1,"op":"max_pool_3x3"},"branch_2":{"input_state":0,"op":"avg_pool_3x3"}},{"branch_1":{"input_state":1,"op":"dil_sep_conv_3x3"},"branch_2":{"input_state":2,"op":"sep_conv_3x3"}}]}}</x:v>
      </x:c>
      <x:c r="F68" t="n">
        <x:v>1</x:v>
      </x:c>
      <x:c r="G68" t="str">
        <x:v>{"normal":{"pairs":[{"branch_1":{"input_state":0,"op":"dil_sep_conv_3x3"},"branch_2":{"input_state":0,"op":"conv_1x7_7x1"}},{"branch_1":{"input_state":1,"op":"identity"},"branch_2":{"input_state":1,"op":"avg_pool_3x3"}},{"branch_1":{"input_state":0,"op":"max_pool_3x3"},"branch_2":{"input_state":0,"op":"avg_pool_3x3"}},{"branch_1":{"input_state":1,"op":"avg_pool_3x3"},"branch_2":{"input_state":2,"op":"sep_conv_3x3"}},{"branch_1":{"input_state":1,"op":"sep_conv_5x5"},"branch_2":{"input_state":1,"op":"conv_1x7_7x1"}}]},"reduction":{"pairs":[{"branch_1":{"input_state":0,"op":"conv_1x7_7x1"},"branch_2":{"input_state":0,"op":"dil_sep_conv_3x3"}},{"branch_1":{"input_state":0,"op":"conv_1x7_7x1"},"branch_2":{"input_state":0,"op":"sep_conv_5x5"}},{"branch_1":{"input_state":0,"op":"sep_conv_5x5"},"branch_2":{"input_state":1,"op":"sep_conv_3x3"}},{"branch_1":{"input_state":1,"op":"max_pool_3x3"},"branch_2":{"input_state":1,"op":"avg_pool_3x3"}},{"branch_1":{"input_state":1,"op":"dil_sep_conv_3x3"},"branch_2":{"input_state":2,"op":"sep_conv_3x3"}}]}}</x:v>
      </x:c>
      <x:c r="H68" t="str">
        <x:v>hidden_state</x:v>
      </x:c>
      <x:c r="I68" s="18" t="n">
        <x:v>0.8323593139648438</x:v>
      </x:c>
      <x:c r="J68" s="23" t="b">
        <x:v>1</x:v>
      </x:c>
      <x:c r="K68" t="n">
        <x:v>23</x:v>
      </x:c>
      <x:c r="L68" s="19" t="n">
        <x:v>8.362522976312903e-7</x:v>
      </x:c>
    </x:row>
    <x:row r="69">
      <x:c r="A69" t="str">
        <x:v>SA-RE</x:v>
      </x:c>
      <x:c r="B69" t="n">
        <x:v>2702</x:v>
      </x:c>
      <x:c r="C69" t="n">
        <x:v>24</x:v>
      </x:c>
      <x:c r="D69" t="n">
        <x:v>13</x:v>
      </x:c>
      <x:c r="E69" t="str">
        <x:v>{"normal":{"pairs":[{"branch_1":{"input_state":0,"op":"dil_sep_conv_3x3"},"branch_2":{"input_state":0,"op":"conv_1x7_7x1"}},{"branch_1":{"input_state":1,"op":"identity"},"branch_2":{"input_state":1,"op":"avg_pool_3x3"}},{"branch_1":{"input_state":0,"op":"max_pool_3x3"},"branch_2":{"input_state":0,"op":"avg_pool_3x3"}},{"branch_1":{"input_state":1,"op":"avg_pool_3x3"},"branch_2":{"input_state":2,"op":"sep_conv_3x3"}},{"branch_1":{"input_state":1,"op":"sep_conv_5x5"},"branch_2":{"input_state":1,"op":"conv_1x7_7x1"}}]},"reduction":{"pairs":[{"branch_1":{"input_state":0,"op":"conv_1x7_7x1"},"branch_2":{"input_state":0,"op":"dil_sep_conv_3x3"}},{"branch_1":{"input_state":0,"op":"conv_1x7_7x1"},"branch_2":{"input_state":0,"op":"sep_conv_5x5"}},{"branch_1":{"input_state":0,"op":"sep_conv_5x5"},"branch_2":{"input_state":1,"op":"sep_conv_3x3"}},{"branch_1":{"input_state":1,"op":"max_pool_3x3"},"branch_2":{"input_state":0,"op":"avg_pool_3x3"}},{"branch_1":{"input_state":1,"op":"dil_sep_conv_3x3"},"branch_2":{"input_state":2,"op":"sep_conv_3x3"}}]}}</x:v>
      </x:c>
      <x:c r="F69" t="n">
        <x:v>2</x:v>
      </x:c>
      <x:c r="G69" t="str">
        <x:v>{"normal":{"pairs":[{"branch_1":{"input_state":0,"op":"dil_sep_conv_3x3"},"branch_2":{"input_state":0,"op":"conv_1x7_7x1"}},{"branch_1":{"input_state":1,"op":"identity"},"branch_2":{"input_state":1,"op":"avg_pool_3x3"}},{"branch_1":{"input_state":0,"op":"max_pool_3x3"},"branch_2":{"input_state":0,"op":"avg_pool_3x3"}},{"branch_1":{"input_state":0,"op":"avg_pool_3x3"},"branch_2":{"input_state":2,"op":"sep_conv_3x3"}},{"branch_1":{"input_state":1,"op":"sep_conv_5x5"},"branch_2":{"input_state":1,"op":"conv_1x7_7x1"}}]},"reduction":{"pairs":[{"branch_1":{"input_state":0,"op":"conv_1x7_7x1"},"branch_2":{"input_state":0,"op":"dil_sep_conv_3x3"}},{"branch_1":{"input_state":0,"op":"conv_1x7_7x1"},"branch_2":{"input_state":0,"op":"sep_conv_5x5"}},{"branch_1":{"input_state":0,"op":"sep_conv_5x5"},"branch_2":{"input_state":1,"op":"sep_conv_3x3"}},{"branch_1":{"input_state":1,"op":"max_pool_3x3"},"branch_2":{"input_state":0,"op":"avg_pool_3x3"}},{"branch_1":{"input_state":1,"op":"dil_sep_conv_3x3"},"branch_2":{"input_state":2,"op":"sep_conv_3x3"}}]}}</x:v>
      </x:c>
      <x:c r="H69" t="str">
        <x:v>hidden_state</x:v>
      </x:c>
      <x:c r="I69" s="18" t="n">
        <x:v>0.80892014503479</x:v>
      </x:c>
      <x:c r="J69" s="23" t="b">
        <x:v>0</x:v>
      </x:c>
      <x:c r="K69" t="n">
        <x:v>23</x:v>
      </x:c>
      <x:c r="L69" s="19" t="n">
        <x:v>8.362522976312903e-7</x:v>
      </x:c>
    </x:row>
    <x:row r="70">
      <x:c r="A70" t="str">
        <x:v>SA-RE</x:v>
      </x:c>
      <x:c r="B70" t="n">
        <x:v>2702</x:v>
      </x:c>
      <x:c r="C70" t="n">
        <x:v>24</x:v>
      </x:c>
      <x:c r="D70" t="n">
        <x:v>13</x:v>
      </x:c>
      <x:c r="E70" t="str">
        <x:v>{"normal":{"pairs":[{"branch_1":{"input_state":0,"op":"dil_sep_conv_3x3"},"branch_2":{"input_state":0,"op":"conv_1x7_7x1"}},{"branch_1":{"input_state":1,"op":"identity"},"branch_2":{"input_state":1,"op":"avg_pool_3x3"}},{"branch_1":{"input_state":0,"op":"max_pool_3x3"},"branch_2":{"input_state":0,"op":"avg_pool_3x3"}},{"branch_1":{"input_state":1,"op":"avg_pool_3x3"},"branch_2":{"input_state":2,"op":"sep_conv_3x3"}},{"branch_1":{"input_state":1,"op":"sep_conv_5x5"},"branch_2":{"input_state":1,"op":"conv_1x7_7x1"}}]},"reduction":{"pairs":[{"branch_1":{"input_state":0,"op":"conv_1x7_7x1"},"branch_2":{"input_state":0,"op":"dil_sep_conv_3x3"}},{"branch_1":{"input_state":0,"op":"conv_1x7_7x1"},"branch_2":{"input_state":0,"op":"sep_conv_5x5"}},{"branch_1":{"input_state":0,"op":"sep_conv_5x5"},"branch_2":{"input_state":1,"op":"sep_conv_3x3"}},{"branch_1":{"input_state":1,"op":"max_pool_3x3"},"branch_2":{"input_state":0,"op":"avg_pool_3x3"}},{"branch_1":{"input_state":1,"op":"dil_sep_conv_3x3"},"branch_2":{"input_state":2,"op":"sep_conv_3x3"}}]}}</x:v>
      </x:c>
      <x:c r="F70" t="n">
        <x:v>3</x:v>
      </x:c>
      <x:c r="G70" t="str">
        <x:v>{"normal":{"pairs":[{"branch_1":{"input_state":0,"op":"dil_sep_conv_3x3"},"branch_2":{"input_state":0,"op":"conv_1x7_7x1"}},{"branch_1":{"input_state":1,"op":"identity"},"branch_2":{"input_state":1,"op":"avg_pool_3x3"}},{"branch_1":{"input_state":0,"op":"max_pool_3x3"},"branch_2":{"input_state":0,"op":"avg_pool_3x3"}},{"branch_1":{"input_state":1,"op":"avg_pool_3x3"},"branch_2":{"input_state":2,"op":"sep_conv_3x3"}},{"branch_1":{"input_state":1,"op":"sep_conv_5x5"},"branch_2":{"input_state":1,"op":"conv_1x7_7x1"}}]},"reduction":{"pairs":[{"branch_1":{"input_state":0,"op":"conv_1x7_7x1"},"branch_2":{"input_state":0,"op":"dil_sep_conv_3x3"}},{"branch_1":{"input_state":0,"op":"conv_1x7_7x1"},"branch_2":{"input_state":0,"op":"sep_conv_5x5"}},{"branch_1":{"input_state":0,"op":"sep_conv_5x5"},"branch_2":{"input_state":0,"op":"sep_conv_3x3"}},{"branch_1":{"input_state":1,"op":"max_pool_3x3"},"branch_2":{"input_state":0,"op":"avg_pool_3x3"}},{"branch_1":{"input_state":1,"op":"dil_sep_conv_3x3"},"branch_2":{"input_state":2,"op":"sep_conv_3x3"}}]}}</x:v>
      </x:c>
      <x:c r="H70" t="str">
        <x:v>hidden_state</x:v>
      </x:c>
      <x:c r="I70" s="18" t="n">
        <x:v>0.8118592500686646</x:v>
      </x:c>
      <x:c r="J70" s="23" t="b">
        <x:v>0</x:v>
      </x:c>
      <x:c r="K70" t="n">
        <x:v>23</x:v>
      </x:c>
      <x:c r="L70" s="19" t="n">
        <x:v>8.362522976312903e-7</x:v>
      </x:c>
    </x:row>
    <x:row r="71">
      <x:c r="A71" t="str">
        <x:v>SA-RE</x:v>
      </x:c>
      <x:c r="B71" t="n">
        <x:v>2702</x:v>
      </x:c>
      <x:c r="C71" t="n">
        <x:v>24</x:v>
      </x:c>
      <x:c r="D71" t="n">
        <x:v>13</x:v>
      </x:c>
      <x:c r="E71" t="str">
        <x:v>{"normal":{"pairs":[{"branch_1":{"input_state":0,"op":"dil_sep_conv_3x3"},"branch_2":{"input_state":0,"op":"conv_1x7_7x1"}},{"branch_1":{"input_state":1,"op":"identity"},"branch_2":{"input_state":1,"op":"avg_pool_3x3"}},{"branch_1":{"input_state":0,"op":"max_pool_3x3"},"branch_2":{"input_state":0,"op":"avg_pool_3x3"}},{"branch_1":{"input_state":1,"op":"avg_pool_3x3"},"branch_2":{"input_state":2,"op":"sep_conv_3x3"}},{"branch_1":{"input_state":1,"op":"sep_conv_5x5"},"branch_2":{"input_state":1,"op":"conv_1x7_7x1"}}]},"reduction":{"pairs":[{"branch_1":{"input_state":0,"op":"conv_1x7_7x1"},"branch_2":{"input_state":0,"op":"dil_sep_conv_3x3"}},{"branch_1":{"input_state":0,"op":"conv_1x7_7x1"},"branch_2":{"input_state":0,"op":"sep_conv_5x5"}},{"branch_1":{"input_state":0,"op":"sep_conv_5x5"},"branch_2":{"input_state":1,"op":"sep_conv_3x3"}},{"branch_1":{"input_state":1,"op":"max_pool_3x3"},"branch_2":{"input_state":0,"op":"avg_pool_3x3"}},{"branch_1":{"input_state":1,"op":"dil_sep_conv_3x3"},"branch_2":{"input_state":2,"op":"sep_conv_3x3"}}]}}</x:v>
      </x:c>
      <x:c r="F71" t="n">
        <x:v>4</x:v>
      </x:c>
      <x:c r="G71" t="str">
        <x:v>{"normal":{"pairs":[{"branch_1":{"input_state":0,"op":"dil_sep_conv_3x3"},"branch_2":{"input_state":0,"op":"conv_1x7_7x1"}},{"branch_1":{"input_state":1,"op":"identity"},"branch_2":{"input_state":1,"op":"avg_pool_3x3"}},{"branch_1":{"input_state":0,"op":"max_pool_3x3"},"branch_2":{"input_state":0,"op":"avg_pool_3x3"}},{"branch_1":{"input_state":1,"op":"avg_pool_3x3"},"branch_2":{"input_state":2,"op":"sep_conv_3x3"}},{"branch_1":{"input_state":1,"op":"sep_conv_5x5"},"branch_2":{"input_state":1,"op":"conv_1x7_7x1"}}]},"reduction":{"pairs":[{"branch_1":{"input_state":0,"op":"conv_1x7_7x1"},"branch_2":{"input_state":0,"op":"dil_sep_conv_3x3"}},{"branch_1":{"input_state":0,"op":"conv_1x7_7x1"},"branch_2":{"input_state":0,"op":"sep_conv_5x5"}},{"branch_1":{"input_state":0,"op":"sep_conv_5x5"},"branch_2":{"input_state":1,"op":"sep_conv_3x3"}},{"branch_1":{"input_state":1,"op":"max_pool_3x3"},"branch_2":{"input_state":0,"op":"avg_pool_3x3"}},{"branch_1":{"input_state":1,"op":"dil_sep_conv_3x3"},"branch_2":{"input_state":2,"op":"sep_conv_3x3"}}]}}</x:v>
      </x:c>
      <x:c r="H71" t="str">
        <x:v>identity</x:v>
      </x:c>
      <x:c r="I71" s="18" t="n">
        <x:v>0.8182733058929443</x:v>
      </x:c>
      <x:c r="J71" s="23" t="b">
        <x:v>0</x:v>
      </x:c>
      <x:c r="K71" t="n">
        <x:v>23</x:v>
      </x:c>
      <x:c r="L71" s="19" t="n">
        <x:v>8.362522976312903e-7</x:v>
      </x:c>
    </x:row>
    <x:row r="72">
      <x:c r="A72" t="str">
        <x:v>SA-RE</x:v>
      </x:c>
      <x:c r="B72" t="n">
        <x:v>2702</x:v>
      </x:c>
      <x:c r="C72" t="n">
        <x:v>25</x:v>
      </x:c>
      <x:c r="D72" t="n">
        <x:v>23</x:v>
      </x:c>
      <x:c r="E72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F72" t="n">
        <x:v>0</x:v>
      </x:c>
      <x:c r="G72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0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H72" t="str">
        <x:v>hidden_state</x:v>
      </x:c>
      <x:c r="I72" s="18" t="n">
        <x:v>0.8261001110076904</x:v>
      </x:c>
      <x:c r="J72" s="23" t="b">
        <x:v>1</x:v>
      </x:c>
      <x:c r="K72" t="n">
        <x:v>24</x:v>
      </x:c>
      <x:c r="L72" s="19" t="n">
        <x:v>0.000012390308256726712</x:v>
      </x:c>
    </x:row>
    <x:row r="73">
      <x:c r="A73" t="str">
        <x:v>SA-RE</x:v>
      </x:c>
      <x:c r="B73" t="n">
        <x:v>2702</x:v>
      </x:c>
      <x:c r="C73" t="n">
        <x:v>25</x:v>
      </x:c>
      <x:c r="D73" t="n">
        <x:v>23</x:v>
      </x:c>
      <x:c r="E73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F73" t="n">
        <x:v>1</x:v>
      </x:c>
      <x:c r="G73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identity"}}]}}</x:v>
      </x:c>
      <x:c r="H73" t="str">
        <x:v>operation</x:v>
      </x:c>
      <x:c r="I73" s="18" t="n">
        <x:v>0.8247578740119934</x:v>
      </x:c>
      <x:c r="J73" s="23" t="b">
        <x:v>0</x:v>
      </x:c>
      <x:c r="K73" t="n">
        <x:v>24</x:v>
      </x:c>
      <x:c r="L73" s="19" t="n">
        <x:v>0.000012390308256726712</x:v>
      </x:c>
    </x:row>
    <x:row r="74">
      <x:c r="A74" t="str">
        <x:v>SA-RE</x:v>
      </x:c>
      <x:c r="B74" t="n">
        <x:v>2702</x:v>
      </x:c>
      <x:c r="C74" t="n">
        <x:v>25</x:v>
      </x:c>
      <x:c r="D74" t="n">
        <x:v>23</x:v>
      </x:c>
      <x:c r="E74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F74" t="n">
        <x:v>2</x:v>
      </x:c>
      <x:c r="G74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avg_pool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H74" t="str">
        <x:v>operation</x:v>
      </x:c>
      <x:c r="I74" s="18" t="n">
        <x:v>0.8250787258148193</x:v>
      </x:c>
      <x:c r="J74" s="23" t="b">
        <x:v>0</x:v>
      </x:c>
      <x:c r="K74" t="n">
        <x:v>24</x:v>
      </x:c>
      <x:c r="L74" s="19" t="n">
        <x:v>0.000012390308256726712</x:v>
      </x:c>
    </x:row>
    <x:row r="75">
      <x:c r="A75" t="str">
        <x:v>SA-RE</x:v>
      </x:c>
      <x:c r="B75" t="n">
        <x:v>2702</x:v>
      </x:c>
      <x:c r="C75" t="n">
        <x:v>25</x:v>
      </x:c>
      <x:c r="D75" t="n">
        <x:v>23</x:v>
      </x:c>
      <x:c r="E75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F75" t="n">
        <x:v>3</x:v>
      </x:c>
      <x:c r="G75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0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H75" t="str">
        <x:v>hidden_state</x:v>
      </x:c>
      <x:c r="I75" s="18" t="n">
        <x:v>0.8242267370223999</x:v>
      </x:c>
      <x:c r="J75" s="23" t="b">
        <x:v>0</x:v>
      </x:c>
      <x:c r="K75" t="n">
        <x:v>24</x:v>
      </x:c>
      <x:c r="L75" s="19" t="n">
        <x:v>0.000012390308256726712</x:v>
      </x:c>
    </x:row>
    <x:row r="76">
      <x:c r="A76" t="str">
        <x:v>SA-RE</x:v>
      </x:c>
      <x:c r="B76" t="n">
        <x:v>2702</x:v>
      </x:c>
      <x:c r="C76" t="n">
        <x:v>25</x:v>
      </x:c>
      <x:c r="D76" t="n">
        <x:v>23</x:v>
      </x:c>
      <x:c r="E76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F76" t="n">
        <x:v>4</x:v>
      </x:c>
      <x:c r="G76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1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H76" t="str">
        <x:v>hidden_state</x:v>
      </x:c>
      <x:c r="I76" s="18" t="n">
        <x:v>0.8172183036804199</x:v>
      </x:c>
      <x:c r="J76" s="23" t="b">
        <x:v>0</x:v>
      </x:c>
      <x:c r="K76" t="n">
        <x:v>24</x:v>
      </x:c>
      <x:c r="L76" s="19" t="n">
        <x:v>0.000012390308256726712</x:v>
      </x:c>
    </x:row>
    <x:row r="77">
      <x:c r="A77" t="str">
        <x:v>SA-RE</x:v>
      </x:c>
      <x:c r="B77" t="n">
        <x:v>2702</x:v>
      </x:c>
      <x:c r="C77" t="n">
        <x:v>26</x:v>
      </x:c>
      <x:c r="D77" t="n">
        <x:v>25</x:v>
      </x:c>
      <x:c r="E77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0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F77" t="n">
        <x:v>0</x:v>
      </x:c>
      <x:c r="G77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0,"op":"sep_conv_7x7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H77" t="str">
        <x:v>operation</x:v>
      </x:c>
      <x:c r="I77" s="18" t="n">
        <x:v>0.8194431066513062</x:v>
      </x:c>
      <x:c r="J77" s="23" t="b">
        <x:v>0</x:v>
      </x:c>
      <x:c r="K77" t="n">
        <x:v>25</x:v>
      </x:c>
      <x:c r="L77" s="19" t="n">
        <x:v>0.000012083628462278284</x:v>
      </x:c>
    </x:row>
    <x:row r="78">
      <x:c r="A78" t="str">
        <x:v>SA-RE</x:v>
      </x:c>
      <x:c r="B78" t="n">
        <x:v>2702</x:v>
      </x:c>
      <x:c r="C78" t="n">
        <x:v>26</x:v>
      </x:c>
      <x:c r="D78" t="n">
        <x:v>25</x:v>
      </x:c>
      <x:c r="E78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0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F78" t="n">
        <x:v>1</x:v>
      </x:c>
      <x:c r="G78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0,"op":"identity"}},{"branch_1":{"input_state":3,"op":"dil_sep_conv_3x3"},"branch_2":{"input_state":4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H78" t="str">
        <x:v>hidden_state</x:v>
      </x:c>
      <x:c r="I78" s="18" t="n">
        <x:v>0.812718391418457</x:v>
      </x:c>
      <x:c r="J78" s="23" t="b">
        <x:v>0</x:v>
      </x:c>
      <x:c r="K78" t="n">
        <x:v>25</x:v>
      </x:c>
      <x:c r="L78" s="19" t="n">
        <x:v>0.000012083628462278284</x:v>
      </x:c>
    </x:row>
    <x:row r="79">
      <x:c r="A79" t="str">
        <x:v>SA-RE</x:v>
      </x:c>
      <x:c r="B79" t="n">
        <x:v>2702</x:v>
      </x:c>
      <x:c r="C79" t="n">
        <x:v>26</x:v>
      </x:c>
      <x:c r="D79" t="n">
        <x:v>25</x:v>
      </x:c>
      <x:c r="E79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0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F79" t="n">
        <x:v>2</x:v>
      </x:c>
      <x:c r="G79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3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H79" t="str">
        <x:v>hidden_state</x:v>
      </x:c>
      <x:c r="I79" s="18" t="n">
        <x:v>0.8212083578109741</x:v>
      </x:c>
      <x:c r="J79" s="23" t="b">
        <x:v>0</x:v>
      </x:c>
      <x:c r="K79" t="n">
        <x:v>25</x:v>
      </x:c>
      <x:c r="L79" s="19" t="n">
        <x:v>0.000012083628462278284</x:v>
      </x:c>
    </x:row>
    <x:row r="80">
      <x:c r="A80" t="str">
        <x:v>SA-RE</x:v>
      </x:c>
      <x:c r="B80" t="n">
        <x:v>2702</x:v>
      </x:c>
      <x:c r="C80" t="n">
        <x:v>26</x:v>
      </x:c>
      <x:c r="D80" t="n">
        <x:v>25</x:v>
      </x:c>
      <x:c r="E80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0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F80" t="n">
        <x:v>3</x:v>
      </x:c>
      <x:c r="G80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0,"op":"max_pool_3x3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H80" t="str">
        <x:v>operation</x:v>
      </x:c>
      <x:c r="I80" s="18" t="n">
        <x:v>0.8191567659378052</x:v>
      </x:c>
      <x:c r="J80" s="23" t="b">
        <x:v>0</x:v>
      </x:c>
      <x:c r="K80" t="n">
        <x:v>25</x:v>
      </x:c>
      <x:c r="L80" s="19" t="n">
        <x:v>0.000012083628462278284</x:v>
      </x:c>
    </x:row>
    <x:row r="81">
      <x:c r="A81" t="str">
        <x:v>SA-RE</x:v>
      </x:c>
      <x:c r="B81" t="n">
        <x:v>2702</x:v>
      </x:c>
      <x:c r="C81" t="n">
        <x:v>26</x:v>
      </x:c>
      <x:c r="D81" t="n">
        <x:v>25</x:v>
      </x:c>
      <x:c r="E81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0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F81" t="n">
        <x:v>4</x:v>
      </x:c>
      <x:c r="G81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0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2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H81" t="str">
        <x:v>hidden_state</x:v>
      </x:c>
      <x:c r="I81" s="18" t="n">
        <x:v>0.826047956943512</x:v>
      </x:c>
      <x:c r="J81" s="23" t="b">
        <x:v>1</x:v>
      </x:c>
      <x:c r="K81" t="n">
        <x:v>25</x:v>
      </x:c>
      <x:c r="L81" s="19" t="n">
        <x:v>0.000012083628462278284</x:v>
      </x:c>
    </x:row>
    <x:row r="82">
      <x:c r="A82" t="str">
        <x:v>SA-RE</x:v>
      </x:c>
      <x:c r="B82" t="n">
        <x:v>2702</x:v>
      </x:c>
      <x:c r="C82" t="n">
        <x:v>27</x:v>
      </x:c>
      <x:c r="D82" t="n">
        <x:v>22</x:v>
      </x:c>
      <x:c r="E82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F82" t="n">
        <x:v>0</x:v>
      </x:c>
      <x:c r="G82" t="str">
        <x:v>{"normal":{"pairs":[{"branch_1":{"input_state":0,"op":"sep_conv_5x5"},"branch_2":{"input_state":0,"op":"max_pool_3x3"}},{"branch_1":{"input_state":0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H82" t="str">
        <x:v>hidden_state</x:v>
      </x:c>
      <x:c r="I82" s="18" t="n">
        <x:v>0.8144487738609314</x:v>
      </x:c>
      <x:c r="J82" s="23" t="b">
        <x:v>0</x:v>
      </x:c>
      <x:c r="K82" t="n">
        <x:v>26</x:v>
      </x:c>
      <x:c r="L82" s="19" t="n">
        <x:v>0.000017245121853193268</x:v>
      </x:c>
    </x:row>
    <x:row r="83">
      <x:c r="A83" t="str">
        <x:v>SA-RE</x:v>
      </x:c>
      <x:c r="B83" t="n">
        <x:v>2702</x:v>
      </x:c>
      <x:c r="C83" t="n">
        <x:v>27</x:v>
      </x:c>
      <x:c r="D83" t="n">
        <x:v>22</x:v>
      </x:c>
      <x:c r="E83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F83" t="n">
        <x:v>1</x:v>
      </x:c>
      <x:c r="G83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0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H83" t="str">
        <x:v>hidden_state</x:v>
      </x:c>
      <x:c r="I83" s="18" t="n">
        <x:v>0.7982264757156372</x:v>
      </x:c>
      <x:c r="J83" s="23" t="b">
        <x:v>0</x:v>
      </x:c>
      <x:c r="K83" t="n">
        <x:v>26</x:v>
      </x:c>
      <x:c r="L83" s="19" t="n">
        <x:v>0.000017245121853193268</x:v>
      </x:c>
    </x:row>
    <x:row r="84">
      <x:c r="A84" t="str">
        <x:v>SA-RE</x:v>
      </x:c>
      <x:c r="B84" t="n">
        <x:v>2702</x:v>
      </x:c>
      <x:c r="C84" t="n">
        <x:v>27</x:v>
      </x:c>
      <x:c r="D84" t="n">
        <x:v>22</x:v>
      </x:c>
      <x:c r="E84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F84" t="n">
        <x:v>2</x:v>
      </x:c>
      <x:c r="G84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identity"}},{"branch_1":{"input_state":4,"op":"conv_1x7_7x1"},"branch_2":{"input_state":4,"op":"max_pool_3x3"}}]}}</x:v>
      </x:c>
      <x:c r="H84" t="str">
        <x:v>operation</x:v>
      </x:c>
      <x:c r="I84" s="18" t="n">
        <x:v>0.7932524681091309</x:v>
      </x:c>
      <x:c r="J84" s="23" t="b">
        <x:v>0</x:v>
      </x:c>
      <x:c r="K84" t="n">
        <x:v>26</x:v>
      </x:c>
      <x:c r="L84" s="19" t="n">
        <x:v>0.000017245121853193268</x:v>
      </x:c>
    </x:row>
    <x:row r="85">
      <x:c r="A85" t="str">
        <x:v>SA-RE</x:v>
      </x:c>
      <x:c r="B85" t="n">
        <x:v>2702</x:v>
      </x:c>
      <x:c r="C85" t="n">
        <x:v>27</x:v>
      </x:c>
      <x:c r="D85" t="n">
        <x:v>22</x:v>
      </x:c>
      <x:c r="E85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F85" t="n">
        <x:v>3</x:v>
      </x:c>
      <x:c r="G85" t="str">
        <x:v>{"normal":{"pairs":[{"branch_1":{"input_state":0,"op":"sep_conv_5x5"},"branch_2":{"input_state":0,"op":"max_pool_3x3"}},{"branch_1":{"input_state":1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H85" t="str">
        <x:v>hidden_state</x:v>
      </x:c>
      <x:c r="I85" s="18" t="n">
        <x:v>0.819709300994873</x:v>
      </x:c>
      <x:c r="J85" s="23" t="b">
        <x:v>1</x:v>
      </x:c>
      <x:c r="K85" t="n">
        <x:v>26</x:v>
      </x:c>
      <x:c r="L85" s="19" t="n">
        <x:v>0.000017245121853193268</x:v>
      </x:c>
    </x:row>
    <x:row r="86">
      <x:c r="A86" t="str">
        <x:v>SA-RE</x:v>
      </x:c>
      <x:c r="B86" t="n">
        <x:v>2702</x:v>
      </x:c>
      <x:c r="C86" t="n">
        <x:v>27</x:v>
      </x:c>
      <x:c r="D86" t="n">
        <x:v>22</x:v>
      </x:c>
      <x:c r="E86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F86" t="n">
        <x:v>4</x:v>
      </x:c>
      <x:c r="G86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max_pool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4,"op":"conv_1x7_7x1"},"branch_2":{"input_state":4,"op":"max_pool_3x3"}}]}}</x:v>
      </x:c>
      <x:c r="H86" t="str">
        <x:v>operation</x:v>
      </x:c>
      <x:c r="I86" s="18" t="n">
        <x:v>0.8168135285377502</x:v>
      </x:c>
      <x:c r="J86" s="23" t="b">
        <x:v>0</x:v>
      </x:c>
      <x:c r="K86" t="n">
        <x:v>26</x:v>
      </x:c>
      <x:c r="L86" s="19" t="n">
        <x:v>0.000017245121853193268</x:v>
      </x:c>
    </x:row>
    <x:row r="87">
      <x:c r="A87" t="str">
        <x:v>SA-RE</x:v>
      </x:c>
      <x:c r="B87" t="n">
        <x:v>2702</x:v>
      </x:c>
      <x:c r="C87" t="n">
        <x:v>28</x:v>
      </x:c>
      <x:c r="D87" t="n">
        <x:v>26</x:v>
      </x:c>
      <x:c r="E87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0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2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F87" t="n">
        <x:v>0</x:v>
      </x:c>
      <x:c r="G87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0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identity"}},{"branch_1":{"input_state":2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H87" t="str">
        <x:v>operation</x:v>
      </x:c>
      <x:c r="I87" s="18" t="n">
        <x:v>0.829291045665741</x:v>
      </x:c>
      <x:c r="J87" s="23" t="b">
        <x:v>0</x:v>
      </x:c>
      <x:c r="K87" t="n">
        <x:v>27</x:v>
      </x:c>
      <x:c r="L87" s="19" t="n">
        <x:v>0.000018085793271893635</x:v>
      </x:c>
    </x:row>
    <x:row r="88">
      <x:c r="A88" t="str">
        <x:v>SA-RE</x:v>
      </x:c>
      <x:c r="B88" t="n">
        <x:v>2702</x:v>
      </x:c>
      <x:c r="C88" t="n">
        <x:v>28</x:v>
      </x:c>
      <x:c r="D88" t="n">
        <x:v>26</x:v>
      </x:c>
      <x:c r="E88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0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2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F88" t="n">
        <x:v>1</x:v>
      </x:c>
      <x:c r="G88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2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H88" t="str">
        <x:v>hidden_state</x:v>
      </x:c>
      <x:c r="I88" s="18" t="n">
        <x:v>0.8202547430992126</x:v>
      </x:c>
      <x:c r="J88" s="23" t="b">
        <x:v>0</x:v>
      </x:c>
      <x:c r="K88" t="n">
        <x:v>27</x:v>
      </x:c>
      <x:c r="L88" s="19" t="n">
        <x:v>0.000018085793271893635</x:v>
      </x:c>
    </x:row>
    <x:row r="89">
      <x:c r="A89" t="str">
        <x:v>SA-RE</x:v>
      </x:c>
      <x:c r="B89" t="n">
        <x:v>2702</x:v>
      </x:c>
      <x:c r="C89" t="n">
        <x:v>28</x:v>
      </x:c>
      <x:c r="D89" t="n">
        <x:v>26</x:v>
      </x:c>
      <x:c r="E89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0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2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F89" t="n">
        <x:v>2</x:v>
      </x:c>
      <x:c r="G89" t="str">
        <x:v>{"normal":{"pairs":[{"branch_1":{"input_state":1,"op":"sep_conv_5x5"},"branch_2":{"input_state":0,"op":"max_pool_3x3"}},{"branch_1":{"input_state":2,"op":"conv_1x7_7x1"},"branch_2":{"input_state":0,"op":"max_pool_3x3"}},{"branch_1":{"input_state":3,"op":"sep_conv_3x3"},"branch_2":{"input_state":0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2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H89" t="str">
        <x:v>hidden_state</x:v>
      </x:c>
      <x:c r="I89" s="18" t="n">
        <x:v>0.8154183626174927</x:v>
      </x:c>
      <x:c r="J89" s="23" t="b">
        <x:v>0</x:v>
      </x:c>
      <x:c r="K89" t="n">
        <x:v>27</x:v>
      </x:c>
      <x:c r="L89" s="19" t="n">
        <x:v>0.000018085793271893635</x:v>
      </x:c>
    </x:row>
    <x:row r="90">
      <x:c r="A90" t="str">
        <x:v>SA-RE</x:v>
      </x:c>
      <x:c r="B90" t="n">
        <x:v>2702</x:v>
      </x:c>
      <x:c r="C90" t="n">
        <x:v>28</x:v>
      </x:c>
      <x:c r="D90" t="n">
        <x:v>26</x:v>
      </x:c>
      <x:c r="E90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0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2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F90" t="n">
        <x:v>3</x:v>
      </x:c>
      <x:c r="G90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0,"op":"identity"}},{"branch_1":{"input_state":3,"op":"dil_sep_conv_3x3"},"branch_2":{"input_state":0,"op":"max_pool_3x3"}},{"branch_1":{"input_state":5,"op":"avg_pool_3x3"},"branch_2":{"input_state":3,"op":"conv_1x7_7x1"}}]},"reduction":{"pairs":[{"branch_1":{"input_state":1,"op":"sep_conv_3x3"},"branch_2":{"input_state":1,"op":"max_pool_3x3"}},{"branch_1":{"input_state":2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H90" t="str">
        <x:v>operation</x:v>
      </x:c>
      <x:c r="I90" s="18" t="n">
        <x:v>0.8117535710334778</x:v>
      </x:c>
      <x:c r="J90" s="23" t="b">
        <x:v>0</x:v>
      </x:c>
      <x:c r="K90" t="n">
        <x:v>27</x:v>
      </x:c>
      <x:c r="L90" s="19" t="n">
        <x:v>0.000018085793271893635</x:v>
      </x:c>
    </x:row>
    <x:row r="91">
      <x:c r="A91" t="str">
        <x:v>SA-RE</x:v>
      </x:c>
      <x:c r="B91" t="n">
        <x:v>2702</x:v>
      </x:c>
      <x:c r="C91" t="n">
        <x:v>28</x:v>
      </x:c>
      <x:c r="D91" t="n">
        <x:v>26</x:v>
      </x:c>
      <x:c r="E91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0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2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F91" t="n">
        <x:v>4</x:v>
      </x:c>
      <x:c r="G91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0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conv_1x7_7x1"}},{"branch_1":{"input_state":2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H91" t="str">
        <x:v>operation</x:v>
      </x:c>
      <x:c r="I91" s="18" t="n">
        <x:v>0.837950587272644</x:v>
      </x:c>
      <x:c r="J91" s="23" t="b">
        <x:v>1</x:v>
      </x:c>
      <x:c r="K91" t="n">
        <x:v>27</x:v>
      </x:c>
      <x:c r="L91" s="19" t="n">
        <x:v>0.000018085793271893635</x:v>
      </x:c>
    </x:row>
    <x:row r="92">
      <x:c r="A92" t="str">
        <x:v>SA-RE</x:v>
      </x:c>
      <x:c r="B92" t="n">
        <x:v>2702</x:v>
      </x:c>
      <x:c r="C92" t="n">
        <x:v>29</x:v>
      </x:c>
      <x:c r="D92" t="n">
        <x:v>13</x:v>
      </x:c>
      <x:c r="E92" t="str">
        <x:v>{"normal":{"pairs":[{"branch_1":{"input_state":0,"op":"dil_sep_conv_3x3"},"branch_2":{"input_state":0,"op":"conv_1x7_7x1"}},{"branch_1":{"input_state":1,"op":"identity"},"branch_2":{"input_state":1,"op":"avg_pool_3x3"}},{"branch_1":{"input_state":0,"op":"max_pool_3x3"},"branch_2":{"input_state":0,"op":"avg_pool_3x3"}},{"branch_1":{"input_state":1,"op":"avg_pool_3x3"},"branch_2":{"input_state":2,"op":"sep_conv_3x3"}},{"branch_1":{"input_state":1,"op":"sep_conv_5x5"},"branch_2":{"input_state":1,"op":"conv_1x7_7x1"}}]},"reduction":{"pairs":[{"branch_1":{"input_state":0,"op":"conv_1x7_7x1"},"branch_2":{"input_state":0,"op":"dil_sep_conv_3x3"}},{"branch_1":{"input_state":0,"op":"conv_1x7_7x1"},"branch_2":{"input_state":0,"op":"sep_conv_5x5"}},{"branch_1":{"input_state":0,"op":"sep_conv_5x5"},"branch_2":{"input_state":1,"op":"sep_conv_3x3"}},{"branch_1":{"input_state":1,"op":"max_pool_3x3"},"branch_2":{"input_state":0,"op":"avg_pool_3x3"}},{"branch_1":{"input_state":1,"op":"dil_sep_conv_3x3"},"branch_2":{"input_state":2,"op":"sep_conv_3x3"}}]}}</x:v>
      </x:c>
      <x:c r="F92" t="n">
        <x:v>0</x:v>
      </x:c>
      <x:c r="G92" t="str">
        <x:v>{"normal":{"pairs":[{"branch_1":{"input_state":0,"op":"dil_sep_conv_3x3"},"branch_2":{"input_state":0,"op":"sep_conv_3x3"}},{"branch_1":{"input_state":1,"op":"identity"},"branch_2":{"input_state":1,"op":"avg_pool_3x3"}},{"branch_1":{"input_state":0,"op":"max_pool_3x3"},"branch_2":{"input_state":0,"op":"avg_pool_3x3"}},{"branch_1":{"input_state":1,"op":"avg_pool_3x3"},"branch_2":{"input_state":2,"op":"sep_conv_3x3"}},{"branch_1":{"input_state":1,"op":"sep_conv_5x5"},"branch_2":{"input_state":1,"op":"conv_1x7_7x1"}}]},"reduction":{"pairs":[{"branch_1":{"input_state":0,"op":"conv_1x7_7x1"},"branch_2":{"input_state":0,"op":"dil_sep_conv_3x3"}},{"branch_1":{"input_state":0,"op":"conv_1x7_7x1"},"branch_2":{"input_state":0,"op":"sep_conv_5x5"}},{"branch_1":{"input_state":0,"op":"sep_conv_5x5"},"branch_2":{"input_state":1,"op":"sep_conv_3x3"}},{"branch_1":{"input_state":1,"op":"max_pool_3x3"},"branch_2":{"input_state":0,"op":"avg_pool_3x3"}},{"branch_1":{"input_state":1,"op":"dil_sep_conv_3x3"},"branch_2":{"input_state":2,"op":"sep_conv_3x3"}}]}}</x:v>
      </x:c>
      <x:c r="H92" t="str">
        <x:v>operation</x:v>
      </x:c>
      <x:c r="I92" s="18" t="n">
        <x:v>0.8027438521385193</x:v>
      </x:c>
      <x:c r="J92" s="23" t="b">
        <x:v>0</x:v>
      </x:c>
      <x:c r="K92" t="n">
        <x:v>28</x:v>
      </x:c>
      <x:c r="L92" s="19" t="n">
        <x:v>0.000036914414522470906</x:v>
      </x:c>
    </x:row>
    <x:row r="93">
      <x:c r="A93" t="str">
        <x:v>SA-RE</x:v>
      </x:c>
      <x:c r="B93" t="n">
        <x:v>2702</x:v>
      </x:c>
      <x:c r="C93" t="n">
        <x:v>29</x:v>
      </x:c>
      <x:c r="D93" t="n">
        <x:v>13</x:v>
      </x:c>
      <x:c r="E93" t="str">
        <x:v>{"normal":{"pairs":[{"branch_1":{"input_state":0,"op":"dil_sep_conv_3x3"},"branch_2":{"input_state":0,"op":"conv_1x7_7x1"}},{"branch_1":{"input_state":1,"op":"identity"},"branch_2":{"input_state":1,"op":"avg_pool_3x3"}},{"branch_1":{"input_state":0,"op":"max_pool_3x3"},"branch_2":{"input_state":0,"op":"avg_pool_3x3"}},{"branch_1":{"input_state":1,"op":"avg_pool_3x3"},"branch_2":{"input_state":2,"op":"sep_conv_3x3"}},{"branch_1":{"input_state":1,"op":"sep_conv_5x5"},"branch_2":{"input_state":1,"op":"conv_1x7_7x1"}}]},"reduction":{"pairs":[{"branch_1":{"input_state":0,"op":"conv_1x7_7x1"},"branch_2":{"input_state":0,"op":"dil_sep_conv_3x3"}},{"branch_1":{"input_state":0,"op":"conv_1x7_7x1"},"branch_2":{"input_state":0,"op":"sep_conv_5x5"}},{"branch_1":{"input_state":0,"op":"sep_conv_5x5"},"branch_2":{"input_state":1,"op":"sep_conv_3x3"}},{"branch_1":{"input_state":1,"op":"max_pool_3x3"},"branch_2":{"input_state":0,"op":"avg_pool_3x3"}},{"branch_1":{"input_state":1,"op":"dil_sep_conv_3x3"},"branch_2":{"input_state":2,"op":"sep_conv_3x3"}}]}}</x:v>
      </x:c>
      <x:c r="F93" t="n">
        <x:v>1</x:v>
      </x:c>
      <x:c r="G93" t="str">
        <x:v>{"normal":{"pairs":[{"branch_1":{"input_state":0,"op":"dil_sep_conv_3x3"},"branch_2":{"input_state":0,"op":"conv_1x7_7x1"}},{"branch_1":{"input_state":1,"op":"identity"},"branch_2":{"input_state":1,"op":"avg_pool_3x3"}},{"branch_1":{"input_state":0,"op":"max_pool_3x3"},"branch_2":{"input_state":0,"op":"avg_pool_3x3"}},{"branch_1":{"input_state":1,"op":"avg_pool_3x3"},"branch_2":{"input_state":2,"op":"sep_conv_3x3"}},{"branch_1":{"input_state":1,"op":"sep_conv_5x5"},"branch_2":{"input_state":1,"op":"sep_conv_3x3"}}]},"reduction":{"pairs":[{"branch_1":{"input_state":0,"op":"conv_1x7_7x1"},"branch_2":{"input_state":0,"op":"dil_sep_conv_3x3"}},{"branch_1":{"input_state":0,"op":"conv_1x7_7x1"},"branch_2":{"input_state":0,"op":"sep_conv_5x5"}},{"branch_1":{"input_state":0,"op":"sep_conv_5x5"},"branch_2":{"input_state":1,"op":"sep_conv_3x3"}},{"branch_1":{"input_state":1,"op":"max_pool_3x3"},"branch_2":{"input_state":0,"op":"avg_pool_3x3"}},{"branch_1":{"input_state":1,"op":"dil_sep_conv_3x3"},"branch_2":{"input_state":2,"op":"sep_conv_3x3"}}]}}</x:v>
      </x:c>
      <x:c r="H93" t="str">
        <x:v>operation</x:v>
      </x:c>
      <x:c r="I93" s="18" t="n">
        <x:v>0.807571291923523</x:v>
      </x:c>
      <x:c r="J93" s="23" t="b">
        <x:v>0</x:v>
      </x:c>
      <x:c r="K93" t="n">
        <x:v>28</x:v>
      </x:c>
      <x:c r="L93" s="19" t="n">
        <x:v>0.000036914414522470906</x:v>
      </x:c>
    </x:row>
    <x:row r="94">
      <x:c r="A94" t="str">
        <x:v>SA-RE</x:v>
      </x:c>
      <x:c r="B94" t="n">
        <x:v>2702</x:v>
      </x:c>
      <x:c r="C94" t="n">
        <x:v>29</x:v>
      </x:c>
      <x:c r="D94" t="n">
        <x:v>13</x:v>
      </x:c>
      <x:c r="E94" t="str">
        <x:v>{"normal":{"pairs":[{"branch_1":{"input_state":0,"op":"dil_sep_conv_3x3"},"branch_2":{"input_state":0,"op":"conv_1x7_7x1"}},{"branch_1":{"input_state":1,"op":"identity"},"branch_2":{"input_state":1,"op":"avg_pool_3x3"}},{"branch_1":{"input_state":0,"op":"max_pool_3x3"},"branch_2":{"input_state":0,"op":"avg_pool_3x3"}},{"branch_1":{"input_state":1,"op":"avg_pool_3x3"},"branch_2":{"input_state":2,"op":"sep_conv_3x3"}},{"branch_1":{"input_state":1,"op":"sep_conv_5x5"},"branch_2":{"input_state":1,"op":"conv_1x7_7x1"}}]},"reduction":{"pairs":[{"branch_1":{"input_state":0,"op":"conv_1x7_7x1"},"branch_2":{"input_state":0,"op":"dil_sep_conv_3x3"}},{"branch_1":{"input_state":0,"op":"conv_1x7_7x1"},"branch_2":{"input_state":0,"op":"sep_conv_5x5"}},{"branch_1":{"input_state":0,"op":"sep_conv_5x5"},"branch_2":{"input_state":1,"op":"sep_conv_3x3"}},{"branch_1":{"input_state":1,"op":"max_pool_3x3"},"branch_2":{"input_state":0,"op":"avg_pool_3x3"}},{"branch_1":{"input_state":1,"op":"dil_sep_conv_3x3"},"branch_2":{"input_state":2,"op":"sep_conv_3x3"}}]}}</x:v>
      </x:c>
      <x:c r="F94" t="n">
        <x:v>2</x:v>
      </x:c>
      <x:c r="G94" t="str">
        <x:v>{"normal":{"pairs":[{"branch_1":{"input_state":0,"op":"dil_sep_conv_3x3"},"branch_2":{"input_state":0,"op":"conv_1x7_7x1"}},{"branch_1":{"input_state":1,"op":"sep_conv_5x5"},"branch_2":{"input_state":1,"op":"avg_pool_3x3"}},{"branch_1":{"input_state":0,"op":"max_pool_3x3"},"branch_2":{"input_state":0,"op":"avg_pool_3x3"}},{"branch_1":{"input_state":1,"op":"avg_pool_3x3"},"branch_2":{"input_state":2,"op":"sep_conv_3x3"}},{"branch_1":{"input_state":1,"op":"sep_conv_5x5"},"branch_2":{"input_state":1,"op":"conv_1x7_7x1"}}]},"reduction":{"pairs":[{"branch_1":{"input_state":0,"op":"conv_1x7_7x1"},"branch_2":{"input_state":0,"op":"dil_sep_conv_3x3"}},{"branch_1":{"input_state":0,"op":"conv_1x7_7x1"},"branch_2":{"input_state":0,"op":"sep_conv_5x5"}},{"branch_1":{"input_state":0,"op":"sep_conv_5x5"},"branch_2":{"input_state":1,"op":"sep_conv_3x3"}},{"branch_1":{"input_state":1,"op":"max_pool_3x3"},"branch_2":{"input_state":0,"op":"avg_pool_3x3"}},{"branch_1":{"input_state":1,"op":"dil_sep_conv_3x3"},"branch_2":{"input_state":2,"op":"sep_conv_3x3"}}]}}</x:v>
      </x:c>
      <x:c r="H94" t="str">
        <x:v>operation</x:v>
      </x:c>
      <x:c r="I94" s="18" t="n">
        <x:v>0.7903929352760315</x:v>
      </x:c>
      <x:c r="J94" s="23" t="b">
        <x:v>0</x:v>
      </x:c>
      <x:c r="K94" t="n">
        <x:v>28</x:v>
      </x:c>
      <x:c r="L94" s="19" t="n">
        <x:v>0.000036914414522470906</x:v>
      </x:c>
    </x:row>
    <x:row r="95">
      <x:c r="A95" t="str">
        <x:v>SA-RE</x:v>
      </x:c>
      <x:c r="B95" t="n">
        <x:v>2702</x:v>
      </x:c>
      <x:c r="C95" t="n">
        <x:v>29</x:v>
      </x:c>
      <x:c r="D95" t="n">
        <x:v>13</x:v>
      </x:c>
      <x:c r="E95" t="str">
        <x:v>{"normal":{"pairs":[{"branch_1":{"input_state":0,"op":"dil_sep_conv_3x3"},"branch_2":{"input_state":0,"op":"conv_1x7_7x1"}},{"branch_1":{"input_state":1,"op":"identity"},"branch_2":{"input_state":1,"op":"avg_pool_3x3"}},{"branch_1":{"input_state":0,"op":"max_pool_3x3"},"branch_2":{"input_state":0,"op":"avg_pool_3x3"}},{"branch_1":{"input_state":1,"op":"avg_pool_3x3"},"branch_2":{"input_state":2,"op":"sep_conv_3x3"}},{"branch_1":{"input_state":1,"op":"sep_conv_5x5"},"branch_2":{"input_state":1,"op":"conv_1x7_7x1"}}]},"reduction":{"pairs":[{"branch_1":{"input_state":0,"op":"conv_1x7_7x1"},"branch_2":{"input_state":0,"op":"dil_sep_conv_3x3"}},{"branch_1":{"input_state":0,"op":"conv_1x7_7x1"},"branch_2":{"input_state":0,"op":"sep_conv_5x5"}},{"branch_1":{"input_state":0,"op":"sep_conv_5x5"},"branch_2":{"input_state":1,"op":"sep_conv_3x3"}},{"branch_1":{"input_state":1,"op":"max_pool_3x3"},"branch_2":{"input_state":0,"op":"avg_pool_3x3"}},{"branch_1":{"input_state":1,"op":"dil_sep_conv_3x3"},"branch_2":{"input_state":2,"op":"sep_conv_3x3"}}]}}</x:v>
      </x:c>
      <x:c r="F95" t="n">
        <x:v>3</x:v>
      </x:c>
      <x:c r="G95" t="str">
        <x:v>{"normal":{"pairs":[{"branch_1":{"input_state":0,"op":"dil_sep_conv_3x3"},"branch_2":{"input_state":0,"op":"conv_1x7_7x1"}},{"branch_1":{"input_state":1,"op":"identity"},"branch_2":{"input_state":1,"op":"avg_pool_3x3"}},{"branch_1":{"input_state":0,"op":"max_pool_3x3"},"branch_2":{"input_state":0,"op":"avg_pool_3x3"}},{"branch_1":{"input_state":1,"op":"avg_pool_3x3"},"branch_2":{"input_state":2,"op":"sep_conv_3x3"}},{"branch_1":{"input_state":1,"op":"sep_conv_5x5"},"branch_2":{"input_state":1,"op":"conv_1x7_7x1"}}]},"reduction":{"pairs":[{"branch_1":{"input_state":0,"op":"conv_1x7_7x1"},"branch_2":{"input_state":0,"op":"dil_sep_conv_3x3"}},{"branch_1":{"input_state":0,"op":"conv_1x7_7x1"},"branch_2":{"input_state":0,"op":"sep_conv_5x5"}},{"branch_1":{"input_state":0,"op":"sep_conv_5x5"},"branch_2":{"input_state":1,"op":"sep_conv_3x3"}},{"branch_1":{"input_state":1,"op":"max_pool_3x3"},"branch_2":{"input_state":0,"op":"avg_pool_3x3"}},{"branch_1":{"input_state":4,"op":"dil_sep_conv_3x3"},"branch_2":{"input_state":2,"op":"sep_conv_3x3"}}]}}</x:v>
      </x:c>
      <x:c r="H95" t="str">
        <x:v>hidden_state</x:v>
      </x:c>
      <x:c r="I95" s="18" t="n">
        <x:v>0.7975268959999084</x:v>
      </x:c>
      <x:c r="J95" s="23" t="b">
        <x:v>0</x:v>
      </x:c>
      <x:c r="K95" t="n">
        <x:v>28</x:v>
      </x:c>
      <x:c r="L95" s="19" t="n">
        <x:v>0.000036914414522470906</x:v>
      </x:c>
    </x:row>
    <x:row r="96">
      <x:c r="A96" t="str">
        <x:v>SA-RE</x:v>
      </x:c>
      <x:c r="B96" t="n">
        <x:v>2702</x:v>
      </x:c>
      <x:c r="C96" t="n">
        <x:v>29</x:v>
      </x:c>
      <x:c r="D96" t="n">
        <x:v>13</x:v>
      </x:c>
      <x:c r="E96" t="str">
        <x:v>{"normal":{"pairs":[{"branch_1":{"input_state":0,"op":"dil_sep_conv_3x3"},"branch_2":{"input_state":0,"op":"conv_1x7_7x1"}},{"branch_1":{"input_state":1,"op":"identity"},"branch_2":{"input_state":1,"op":"avg_pool_3x3"}},{"branch_1":{"input_state":0,"op":"max_pool_3x3"},"branch_2":{"input_state":0,"op":"avg_pool_3x3"}},{"branch_1":{"input_state":1,"op":"avg_pool_3x3"},"branch_2":{"input_state":2,"op":"sep_conv_3x3"}},{"branch_1":{"input_state":1,"op":"sep_conv_5x5"},"branch_2":{"input_state":1,"op":"conv_1x7_7x1"}}]},"reduction":{"pairs":[{"branch_1":{"input_state":0,"op":"conv_1x7_7x1"},"branch_2":{"input_state":0,"op":"dil_sep_conv_3x3"}},{"branch_1":{"input_state":0,"op":"conv_1x7_7x1"},"branch_2":{"input_state":0,"op":"sep_conv_5x5"}},{"branch_1":{"input_state":0,"op":"sep_conv_5x5"},"branch_2":{"input_state":1,"op":"sep_conv_3x3"}},{"branch_1":{"input_state":1,"op":"max_pool_3x3"},"branch_2":{"input_state":0,"op":"avg_pool_3x3"}},{"branch_1":{"input_state":1,"op":"dil_sep_conv_3x3"},"branch_2":{"input_state":2,"op":"sep_conv_3x3"}}]}}</x:v>
      </x:c>
      <x:c r="F96" t="n">
        <x:v>4</x:v>
      </x:c>
      <x:c r="G96" t="str">
        <x:v>{"normal":{"pairs":[{"branch_1":{"input_state":0,"op":"dil_sep_conv_3x3"},"branch_2":{"input_state":0,"op":"conv_1x7_7x1"}},{"branch_1":{"input_state":1,"op":"identity"},"branch_2":{"input_state":1,"op":"avg_pool_3x3"}},{"branch_1":{"input_state":0,"op":"max_pool_3x3"},"branch_2":{"input_state":0,"op":"avg_pool_3x3"}},{"branch_1":{"input_state":1,"op":"avg_pool_3x3"},"branch_2":{"input_state":2,"op":"sep_conv_3x3"}},{"branch_1":{"input_state":1,"op":"sep_conv_5x5"},"branch_2":{"input_state":1,"op":"conv_1x7_7x1"}}]},"reduction":{"pairs":[{"branch_1":{"input_state":0,"op":"conv_1x7_7x1"},"branch_2":{"input_state":1,"op":"dil_sep_conv_3x3"}},{"branch_1":{"input_state":0,"op":"conv_1x7_7x1"},"branch_2":{"input_state":0,"op":"sep_conv_5x5"}},{"branch_1":{"input_state":0,"op":"sep_conv_5x5"},"branch_2":{"input_state":1,"op":"sep_conv_3x3"}},{"branch_1":{"input_state":1,"op":"max_pool_3x3"},"branch_2":{"input_state":0,"op":"avg_pool_3x3"}},{"branch_1":{"input_state":1,"op":"dil_sep_conv_3x3"},"branch_2":{"input_state":2,"op":"sep_conv_3x3"}}]}}</x:v>
      </x:c>
      <x:c r="H96" t="str">
        <x:v>hidden_state</x:v>
      </x:c>
      <x:c r="I96" s="18" t="n">
        <x:v>0.8162235021591187</x:v>
      </x:c>
      <x:c r="J96" s="23" t="b">
        <x:v>1</x:v>
      </x:c>
      <x:c r="K96" t="n">
        <x:v>28</x:v>
      </x:c>
      <x:c r="L96" s="19" t="n">
        <x:v>0.000036914414522470906</x:v>
      </x:c>
    </x:row>
    <x:row r="97">
      <x:c r="A97" t="str">
        <x:v>SA-RE</x:v>
      </x:c>
      <x:c r="B97" t="n">
        <x:v>2702</x:v>
      </x:c>
      <x:c r="C97" t="n">
        <x:v>30</x:v>
      </x:c>
      <x:c r="D97" t="n">
        <x:v>23</x:v>
      </x:c>
      <x:c r="E97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F97" t="n">
        <x:v>0</x:v>
      </x:c>
      <x:c r="G97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sep_conv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H97" t="str">
        <x:v>operation</x:v>
      </x:c>
      <x:c r="I97" s="18" t="n">
        <x:v>0.8189332485198975</x:v>
      </x:c>
      <x:c r="J97" s="23" t="b">
        <x:v>0</x:v>
      </x:c>
      <x:c r="K97" t="n">
        <x:v>29</x:v>
      </x:c>
      <x:c r="L97" s="19" t="n">
        <x:v>0.000034236425562994555</x:v>
      </x:c>
    </x:row>
    <x:row r="98">
      <x:c r="A98" t="str">
        <x:v>SA-RE</x:v>
      </x:c>
      <x:c r="B98" t="n">
        <x:v>2702</x:v>
      </x:c>
      <x:c r="C98" t="n">
        <x:v>30</x:v>
      </x:c>
      <x:c r="D98" t="n">
        <x:v>23</x:v>
      </x:c>
      <x:c r="E98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F98" t="n">
        <x:v>1</x:v>
      </x:c>
      <x:c r="G98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dil_sep_conv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H98" t="str">
        <x:v>operation</x:v>
      </x:c>
      <x:c r="I98" s="18" t="n">
        <x:v>0.8318125009536743</x:v>
      </x:c>
      <x:c r="J98" s="23" t="b">
        <x:v>1</x:v>
      </x:c>
      <x:c r="K98" t="n">
        <x:v>29</x:v>
      </x:c>
      <x:c r="L98" s="19" t="n">
        <x:v>0.000034236425562994555</x:v>
      </x:c>
    </x:row>
    <x:row r="99">
      <x:c r="A99" t="str">
        <x:v>SA-RE</x:v>
      </x:c>
      <x:c r="B99" t="n">
        <x:v>2702</x:v>
      </x:c>
      <x:c r="C99" t="n">
        <x:v>30</x:v>
      </x:c>
      <x:c r="D99" t="n">
        <x:v>23</x:v>
      </x:c>
      <x:c r="E99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F99" t="n">
        <x:v>2</x:v>
      </x:c>
      <x:c r="G99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sep_conv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H99" t="str">
        <x:v>operation</x:v>
      </x:c>
      <x:c r="I99" s="18" t="n">
        <x:v>0.8247396349906921</x:v>
      </x:c>
      <x:c r="J99" s="23" t="b">
        <x:v>0</x:v>
      </x:c>
      <x:c r="K99" t="n">
        <x:v>29</x:v>
      </x:c>
      <x:c r="L99" s="19" t="n">
        <x:v>0.000034236425562994555</x:v>
      </x:c>
    </x:row>
    <x:row r="100">
      <x:c r="A100" t="str">
        <x:v>SA-RE</x:v>
      </x:c>
      <x:c r="B100" t="n">
        <x:v>2702</x:v>
      </x:c>
      <x:c r="C100" t="n">
        <x:v>30</x:v>
      </x:c>
      <x:c r="D100" t="n">
        <x:v>23</x:v>
      </x:c>
      <x:c r="E100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F100" t="n">
        <x:v>3</x:v>
      </x:c>
      <x:c r="G100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identity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H100" t="str">
        <x:v>operation</x:v>
      </x:c>
      <x:c r="I100" s="18" t="n">
        <x:v>0.8131703734397888</x:v>
      </x:c>
      <x:c r="J100" s="23" t="b">
        <x:v>0</x:v>
      </x:c>
      <x:c r="K100" t="n">
        <x:v>29</x:v>
      </x:c>
      <x:c r="L100" s="19" t="n">
        <x:v>0.000034236425562994555</x:v>
      </x:c>
    </x:row>
    <x:row r="101">
      <x:c r="A101" t="str">
        <x:v>SA-RE</x:v>
      </x:c>
      <x:c r="B101" t="n">
        <x:v>2702</x:v>
      </x:c>
      <x:c r="C101" t="n">
        <x:v>30</x:v>
      </x:c>
      <x:c r="D101" t="n">
        <x:v>23</x:v>
      </x:c>
      <x:c r="E101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3,"op":"sep_conv_5x5"},"branch_2":{"input_state":3,"op":"avg_pool_3x3"}},{"branch_1":{"input_state":1,"op":"conv_1x7_7x1"},"branch_2":{"input_state":4,"op":"max_pool_3x3"}}]}}</x:v>
      </x:c>
      <x:c r="F101" t="n">
        <x:v>4</x:v>
      </x:c>
      <x:c r="G101" t="str">
        <x:v>{"normal":{"pairs":[{"branch_1":{"input_state":0,"op":"sep_conv_5x5"},"branch_2":{"input_state":0,"op":"max_pool_3x3"}},{"branch_1":{"input_state":2,"op":"conv_1x7_7x1"},"branch_2":{"input_state":0,"op":"max_pool_3x3"}},{"branch_1":{"input_state":3,"op":"sep_conv_3x3"},"branch_2":{"input_state":2,"op":"identity"}},{"branch_1":{"input_state":3,"op":"dil_sep_conv_3x3"},"branch_2":{"input_state":0,"op":"max_pool_3x3"}},{"branch_1":{"input_state":5,"op":"avg_pool_3x3"},"branch_2":{"input_state":3,"op":"avg_pool_3x3"}}]},"reduction":{"pairs":[{"branch_1":{"input_state":1,"op":"sep_conv_3x3"},"branch_2":{"input_state":1,"op":"max_pool_3x3"}},{"branch_1":{"input_state":0,"op":"avg_pool_3x3"},"branch_2":{"input_state":1,"op":"sep_conv_3x3"}},{"branch_1":{"input_state":3,"op":"identity"},"branch_2":{"input_state":0,"op":"sep_conv_7x7"}},{"branch_1":{"input_state":2,"op":"sep_conv_5x5"},"branch_2":{"input_state":3,"op":"avg_pool_3x3"}},{"branch_1":{"input_state":1,"op":"conv_1x7_7x1"},"branch_2":{"input_state":4,"op":"max_pool_3x3"}}]}}</x:v>
      </x:c>
      <x:c r="H101" t="str">
        <x:v>hidden_state</x:v>
      </x:c>
      <x:c r="I101" s="18" t="n">
        <x:v>0.8048872947692871</x:v>
      </x:c>
      <x:c r="J101" s="23" t="b">
        <x:v>0</x:v>
      </x:c>
      <x:c r="K101" t="n">
        <x:v>29</x:v>
      </x:c>
      <x:c r="L101" s="19" t="n">
        <x:v>0.000034236425562994555</x:v>
      </x:c>
    </x:row>
  </x:sheetData>
  <x:pageMargins left="0.7" right="0.7" top="0.75" bottom="0.75" header="0.3" footer="0.3"/>
  <x:tableParts count="1">
    <x:tablePart xmlns:r="http://schemas.openxmlformats.org/officeDocument/2006/relationships" r:id="R31a6ae5d07ba44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7" hidden="0" customWidth="1"/>
    <x:col min="3" max="3" width="100" hidden="0" customWidth="1"/>
  </x:cols>
  <x:sheetData>
    <x:row r="1">
      <x:c r="A1" s="115" t="str">
        <x:v>Workbook notes, metric definitions, and limitations</x:v>
      </x:c>
      <x:c r="B1" s="146"/>
      <x:c r="C1" s="146"/>
    </x:row>
    <x:row r="2">
      <x:c r="A2" s="146"/>
      <x:c r="B2" s="146"/>
      <x:c r="C2" s="146"/>
    </x:row>
    <x:row r="3">
      <x:c r="A3" s="146"/>
      <x:c r="B3" s="146"/>
      <x:c r="C3" s="146"/>
    </x:row>
    <x:row r="4">
      <x:c r="A4" s="133" t="str">
        <x:v>Section</x:v>
      </x:c>
      <x:c r="B4" s="134" t="str">
        <x:v>Item</x:v>
      </x:c>
      <x:c r="C4" s="135" t="str">
        <x:v>Definition / note</x:v>
      </x:c>
    </x:row>
    <x:row r="5">
      <x:c r="A5" s="149" t="str">
        <x:v>Inputs</x:v>
      </x:c>
      <x:c r="B5" s="149" t="str">
        <x:v>Evaluations</x:v>
      </x:c>
      <x:c r="C5" s="155" t="str">
        <x:v>Four evaluations.csv files: RE and SA-RE for search seeds 2701 and 2702.</x:v>
      </x:c>
    </x:row>
    <x:row r="6">
      <x:c r="A6" s="151" t="str">
        <x:v>Inputs</x:v>
      </x:c>
      <x:c r="B6" s="151" t="str">
        <x:v>Candidates</x:v>
      </x:c>
      <x:c r="C6" s="158" t="str">
        <x:v>Two candidate_predictions.csv files, 50 candidates per SA-RE seed.</x:v>
      </x:c>
    </x:row>
    <x:row r="7">
      <x:c r="A7" s="151" t="str">
        <x:v>Validation</x:v>
      </x:c>
      <x:c r="B7" s="151" t="str">
        <x:v>Budget</x:v>
      </x:c>
      <x:c r="C7" s="158" t="str">
        <x:v>Each run contains exactly 30 real evaluations: 20 initialization + 10 evolution.</x:v>
      </x:c>
    </x:row>
    <x:row r="8">
      <x:c r="A8" s="151" t="str">
        <x:v>Validation</x:v>
      </x:c>
      <x:c r="B8" s="151" t="str">
        <x:v>SA-RE candidates</x:v>
      </x:c>
      <x:c r="C8" s="158" t="str">
        <x:v>Each SA-RE run contains exactly 50 candidates and 10 selected candidates.</x:v>
      </x:c>
    </x:row>
    <x:row r="9">
      <x:c r="A9" s="151" t="str">
        <x:v>Metric</x:v>
      </x:c>
      <x:c r="B9" s="151" t="str">
        <x:v>Overall best</x:v>
      </x:c>
      <x:c r="C9" s="158" t="str">
        <x:v>Maximum final validation accuracy across all 30 real evaluations.</x:v>
      </x:c>
    </x:row>
    <x:row r="10">
      <x:c r="A10" s="151" t="str">
        <x:v>Metric</x:v>
      </x:c>
      <x:c r="B10" s="151" t="str">
        <x:v>Gain vs init best</x:v>
      </x:c>
      <x:c r="C10" s="158" t="str">
        <x:v>Overall best minus the maximum accuracy among evaluations 1–20 in the same run.</x:v>
      </x:c>
    </x:row>
    <x:row r="11">
      <x:c r="A11" s="151" t="str">
        <x:v>Metric</x:v>
      </x:c>
      <x:c r="B11" s="151" t="str">
        <x:v>Evolution mean</x:v>
      </x:c>
      <x:c r="C11" s="158" t="str">
        <x:v>Mean final validation accuracy of the 10 trained offspring (evaluations 21–30).</x:v>
      </x:c>
    </x:row>
    <x:row r="12">
      <x:c r="A12" s="151" t="str">
        <x:v>Metric</x:v>
      </x:c>
      <x:c r="B12" s="151" t="str">
        <x:v>Final population mean</x:v>
      </x:c>
      <x:c r="C12" s="158" t="str">
        <x:v>Mean fitness of evaluations 11–30, which form the final FIFO population.</x:v>
      </x:c>
    </x:row>
    <x:row r="13">
      <x:c r="A13" s="151" t="str">
        <x:v>Metric</x:v>
      </x:c>
      <x:c r="B13" s="151" t="str">
        <x:v>Best-so-far AUC</x:v>
      </x:c>
      <x:c r="C13" s="158" t="str">
        <x:v>Arithmetic mean of the cumulative best accuracy across evaluations; higher means strong results were found earlier.</x:v>
      </x:c>
    </x:row>
    <x:row r="14">
      <x:c r="A14" s="151" t="str">
        <x:v>Metric</x:v>
      </x:c>
      <x:c r="B14" s="151" t="str">
        <x:v>Selected MAE</x:v>
      </x:c>
      <x:c r="C14" s="158" t="str">
        <x:v>Mean |predicted_mu - observed final validation accuracy| for the 20 trained selected candidates.</x:v>
      </x:c>
    </x:row>
    <x:row r="15">
      <x:c r="A15" s="151" t="str">
        <x:v>Limitation</x:v>
      </x:c>
      <x:c r="B15" s="151" t="str">
        <x:v>Two seeds</x:v>
      </x:c>
      <x:c r="C15" s="158" t="str">
        <x:v>n=2 supports descriptive pilot conclusions only. Do not report significance tests or definitive method superiority.</x:v>
      </x:c>
    </x:row>
    <x:row r="16">
      <x:c r="A16" s="151" t="str">
        <x:v>Limitation</x:v>
      </x:c>
      <x:c r="B16" s="151" t="str">
        <x:v>Training noise</x:v>
      </x:c>
      <x:c r="C16" s="158" t="str">
        <x:v>Identical architecture and training seed did not reproduce exact accuracy in 22/40 matched initialization evaluations.</x:v>
      </x:c>
    </x:row>
    <x:row r="17">
      <x:c r="A17" s="151" t="str">
        <x:v>Limitation</x:v>
      </x:c>
      <x:c r="B17" s="151" t="str">
        <x:v>Selection bias</x:v>
      </x:c>
      <x:c r="C17" s="158" t="str">
        <x:v>Only the max-predicted candidate was trained; surrogate error/correlation is conditional on selection.</x:v>
      </x:c>
    </x:row>
    <x:row r="18">
      <x:c r="A18" s="151" t="str">
        <x:v>Limitation</x:v>
      </x:c>
      <x:c r="B18" s="151" t="str">
        <x:v>Runtime</x:v>
      </x:c>
      <x:c r="C18" s="158" t="str">
        <x:v>Runs occurred at different times and trained different offspring architectures; wall-time differences are not causal surrogate-overhead estimates.</x:v>
      </x:c>
    </x:row>
    <x:row r="19">
      <x:c r="A19" s="151" t="str">
        <x:v>Recommendation</x:v>
      </x:c>
      <x:c r="B19" s="151" t="str">
        <x:v>Next evidence</x:v>
      </x:c>
      <x:c r="C19" s="158" t="str">
        <x:v>Keep the pilot hyperparameters fixed. For confirmatory experiments, use more seeds and either a deterministic training protocol or repeated evaluations to estimate training noise.</x:v>
      </x:c>
    </x:row>
  </x:sheetData>
  <x:mergeCells>
    <x:mergeCell ref="A1:H2"/>
  </x:mergeCells>
  <x:pageMargins left="0.7" right="0.7" top="0.75" bottom="0.75" header="0.3" footer="0.3"/>
</x:worksheet>
</file>